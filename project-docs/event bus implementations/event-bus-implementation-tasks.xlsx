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0f6308525d24b90" /></Relationships>
</file>

<file path=xl/workbook.xml><?xml version="1.0" encoding="utf-8"?>
<x:workbook xmlns:x="http://schemas.openxmlformats.org/spreadsheetml/2006/main">
  <x:sheets>
    <x:sheet xmlns:r="http://schemas.openxmlformats.org/officeDocument/2006/relationships" name="Overview" sheetId="1" r:id="Rd0395b473ca44fa1"/>
    <x:sheet xmlns:r="http://schemas.openxmlformats.org/officeDocument/2006/relationships" name="Tasks" sheetId="2" r:id="R6d0535b94e7d4ee4"/>
    <x:sheet xmlns:r="http://schemas.openxmlformats.org/officeDocument/2006/relationships" name="Known Bugs" sheetId="3" r:id="Rae9166ea49514981"/>
    <x:sheet xmlns:r="http://schemas.openxmlformats.org/officeDocument/2006/relationships" name="Implementation Plan" sheetId="4" r:id="R449131cefd584342"/>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858641fdf734c42" /><Relationship Type="http://schemas.openxmlformats.org/officeDocument/2006/relationships/theme" Target="/xl/theme/theme1.xml" Id="Re4b5d58ccd594ad3" /><Relationship Type="http://schemas.openxmlformats.org/officeDocument/2006/relationships/sharedStrings" Target="/xl/sharedStrings.xml" Id="R5096d77a5a5c4ffa" /><Relationship Type="http://schemas.openxmlformats.org/officeDocument/2006/relationships/worksheet" Target="/xl/worksheets/sheet1.xml" Id="Rd0395b473ca44fa1" /><Relationship Type="http://schemas.openxmlformats.org/officeDocument/2006/relationships/worksheet" Target="/xl/worksheets/sheet2.xml" Id="R6d0535b94e7d4ee4" /><Relationship Type="http://schemas.openxmlformats.org/officeDocument/2006/relationships/worksheet" Target="/xl/worksheets/sheet3.xml" Id="Rae9166ea49514981" /><Relationship Type="http://schemas.openxmlformats.org/officeDocument/2006/relationships/worksheet" Target="/xl/worksheets/sheet4.xml" Id="R449131cefd584342"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1e7d1db0f8394492" /></Relationships>
</file>

<file path=xl/worksheets/_rels/sheet4.xml.rels>&#65279;<?xml version="1.0" encoding="utf-8"?><Relationships xmlns="http://schemas.openxmlformats.org/package/2006/relationships"><Relationship Type="http://schemas.openxmlformats.org/officeDocument/2006/relationships/table" Target="/xl/tables/table2.xml" Id="R5297c0d565fe4bd2" /><Relationship Type="http://schemas.openxmlformats.org/officeDocument/2006/relationships/table" Target="/xl/tables/table3.xml" Id="Rad3c9d4393d344b2"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f>COUNTIF('Tasks'!$B$2:$B$999,B23)</x:f>
        <x:v>8</x:v>
      </x:c>
      <x:c r="D23" s="9" t="n">
        <x:f>COUNTIFS('Tasks'!$B$2:$B$999,B23,'Tasks'!$G$2:$G$999,"Completed")</x:f>
        <x:v>0</x:v>
      </x:c>
      <x:c r="E23" s="9" t="n">
        <x:f>C23-D23</x:f>
        <x:v>8</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13</x:v>
      </x:c>
      <x:c r="E28" s="11" t="n">
        <x:v>24</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inlineStr">
        <x:is>
          <x:t xml:space="preserve">Not Started</x:t>
        </x:is>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inlineStr">
        <x:is>
          <x:t xml:space="preserve">Not Started</x:t>
        </x:is>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inlineStr">
        <x:is>
          <x:t xml:space="preserve">Not Started</x:t>
        </x:is>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Not Started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Not Started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Not Started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1e7d1db0f8394492"/>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f>INDEX('Tasks'!$G$2:$G$38,MATCH(A37,'Tasks'!$A$2:$A$38,0))</x:f>
        <x:v>Not Started</x:v>
      </x:c>
      <x:c r="G37" s="101" t="inlineStr">
        <x:is>
          <x:t xml:space="preserve">Not Submitted</x:t>
        </x:is>
      </x:c>
      <x:c r="H37" s="101" t="str"/>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f>INDEX('Tasks'!$G$2:$G$38,MATCH(A38,'Tasks'!$A$2:$A$38,0))</x:f>
        <x:v>Not Started</x:v>
      </x:c>
      <x:c r="G38" s="101" t="inlineStr">
        <x:is>
          <x:t xml:space="preserve">Not Submitted</x:t>
        </x:is>
      </x:c>
      <x:c r="H38" s="101" t="str"/>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f>INDEX('Tasks'!$G$2:$G$38,MATCH(A39,'Tasks'!$A$2:$A$38,0))</x:f>
        <x:v>Not Started</x:v>
      </x:c>
      <x:c r="G39" s="101" t="inlineStr">
        <x:is>
          <x:t xml:space="preserve">Not Submitted</x:t>
        </x:is>
      </x:c>
      <x:c r="H39" s="101" t="str"/>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f>INDEX('Tasks'!$G$2:$G$38,MATCH(A40,'Tasks'!$A$2:$A$38,0))</x:f>
        <x:v>Not Started</x:v>
      </x:c>
      <x:c r="G40" s="101" t="inlineStr">
        <x:is>
          <x:t xml:space="preserve">Not Submitted</x:t>
        </x:is>
      </x:c>
      <x:c r="H40" s="101" t="str"/>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f>INDEX('Tasks'!$G$2:$G$38,MATCH(A41,'Tasks'!$A$2:$A$38,0))</x:f>
        <x:v>Not Started</x:v>
      </x:c>
      <x:c r="G41" s="101" t="inlineStr">
        <x:is>
          <x:t xml:space="preserve">Not Submitted</x:t>
        </x:is>
      </x:c>
      <x:c r="H41" s="101" t="str"/>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f>INDEX('Tasks'!$G$2:$G$38,MATCH(A42,'Tasks'!$A$2:$A$38,0))</x:f>
        <x:v>Not Started</x:v>
      </x:c>
      <x:c r="G42" s="101" t="inlineStr">
        <x:is>
          <x:t xml:space="preserve">Not Submitted</x:t>
        </x:is>
      </x:c>
      <x:c r="H42" s="101" t="str"/>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5297c0d565fe4bd2"/>
    <x:tablePart xmlns:r="http://schemas.openxmlformats.org/officeDocument/2006/relationships" r:id="Rad3c9d4393d344b2"/>
  </x:tableParts>
</x:worksheet>
</file>