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2f8271a8f0e4169" /></Relationships>
</file>

<file path=xl/workbook.xml><?xml version="1.0" encoding="utf-8"?>
<x:workbook xmlns:x="http://schemas.openxmlformats.org/spreadsheetml/2006/main">
  <x:sheets>
    <x:sheet xmlns:r="http://schemas.openxmlformats.org/officeDocument/2006/relationships" name="Overview" sheetId="1" r:id="R86c82539fec64302"/>
    <x:sheet xmlns:r="http://schemas.openxmlformats.org/officeDocument/2006/relationships" name="Tasks" sheetId="2" r:id="R75dc0391fa66448a"/>
    <x:sheet xmlns:r="http://schemas.openxmlformats.org/officeDocument/2006/relationships" name="Known Bugs" sheetId="3" r:id="R729812786b004a52"/>
    <x:sheet xmlns:r="http://schemas.openxmlformats.org/officeDocument/2006/relationships" name="Implementation Plan" sheetId="4" r:id="Rbf2f7fc853004e06"/>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0c5ce0e49ea4a5d" /><Relationship Type="http://schemas.openxmlformats.org/officeDocument/2006/relationships/theme" Target="/xl/theme/theme1.xml" Id="R0e9c3fe793e64db3" /><Relationship Type="http://schemas.openxmlformats.org/officeDocument/2006/relationships/sharedStrings" Target="/xl/sharedStrings.xml" Id="R772ad2c192824f94" /><Relationship Type="http://schemas.openxmlformats.org/officeDocument/2006/relationships/worksheet" Target="/xl/worksheets/sheet1.xml" Id="R86c82539fec64302" /><Relationship Type="http://schemas.openxmlformats.org/officeDocument/2006/relationships/worksheet" Target="/xl/worksheets/sheet2.xml" Id="R75dc0391fa66448a" /><Relationship Type="http://schemas.openxmlformats.org/officeDocument/2006/relationships/worksheet" Target="/xl/worksheets/sheet3.xml" Id="R729812786b004a52" /><Relationship Type="http://schemas.openxmlformats.org/officeDocument/2006/relationships/worksheet" Target="/xl/worksheets/sheet4.xml" Id="Rbf2f7fc853004e06"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3bf36947076343f4" /></Relationships>
</file>

<file path=xl/worksheets/_rels/sheet4.xml.rels>&#65279;<?xml version="1.0" encoding="utf-8"?><Relationships xmlns="http://schemas.openxmlformats.org/package/2006/relationships"><Relationship Type="http://schemas.openxmlformats.org/officeDocument/2006/relationships/table" Target="/xl/tables/table2.xml" Id="R35cd8a497c0c4788" /><Relationship Type="http://schemas.openxmlformats.org/officeDocument/2006/relationships/table" Target="/xl/tables/table3.xml" Id="Re5ff58deb0b54bb3"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1"/>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7"/>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7"/>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2</x:v>
      </x:c>
      <x:c r="E23" s="9" t="n">
        <x:v>6</x:v>
      </x:c>
    </x:row>
    <x:row r="24">
      <x:c r="B24" s="8" t="inlineStr">
        <x:is>
          <x:t xml:space="preserve">4 - Downstream &amp; Deletion</x:t>
        </x:is>
      </x:c>
      <x:c r="C24" s="9" t="n">
        <x:f>COUNTIF('Tasks'!$B$2:$B$999,B24)</x:f>
        <x:v>5</x:v>
      </x:c>
      <x:c r="D24" s="9" t="n">
        <x:f>COUNTIFS('Tasks'!$B$2:$B$999,B24,'Tasks'!$G$2:$G$999,"Completed")</x:f>
        <x:v>0</x:v>
      </x:c>
      <x:c r="E24" s="9" t="n">
        <x:f>C24-D24</x:f>
        <x:v>5</x:v>
      </x:c>
    </x:row>
    <x:row r="25">
      <x:c r="B25" s="8" t="inlineStr">
        <x:is>
          <x:t xml:space="preserve">5 - Security &amp; Observability</x:t>
        </x:is>
      </x:c>
      <x:c r="C25" s="9" t="n">
        <x:f>COUNTIF('Tasks'!$B$2:$B$999,B25)</x:f>
        <x:v>4</x:v>
      </x:c>
      <x:c r="D25" s="9" t="n">
        <x:f>COUNTIFS('Tasks'!$B$2:$B$999,B25,'Tasks'!$G$2:$G$999,"Completed")</x:f>
        <x:v>0</x:v>
      </x:c>
      <x:c r="E25" s="9" t="n">
        <x:f>C25-D25</x:f>
        <x:v>4</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inlineStr">
        <x:is>
          <x:t xml:space="preserve">Total</x:t>
        </x:is>
      </x:c>
      <x:c r="C28" s="11" t="n">
        <x:v>37</x:v>
      </x:c>
      <x:c r="D28" s="11" t="n">
        <x:v>15</x:v>
      </x:c>
      <x:c r="E28" s="11" t="n">
        <x:v>22</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str">
        <x:v>Completed</x:v>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str">
        <x:v>Completed</x:v>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str">
        <x:v>Completed</x:v>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Not Started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Not Started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Not Started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Not Started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Not Started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Not Started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Not Started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Not Started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Not Started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Not Started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inlineStr">
        <x:is>
          <x:t xml:space="preserve">Not Started</x:t>
        </x:is>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inlineStr">
        <x:is>
          <x:t xml:space="preserve">Not Started</x:t>
        </x:is>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inlineStr">
        <x:is>
          <x:t xml:space="preserve">Not Started</x:t>
        </x:is>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3bf36947076343f4"/>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4"/>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6"/>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1"/>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str">
        <x:v>Completed</x:v>
      </x:c>
      <x:c r="G36" s="101" t="str">
        <x:v>Review Deferred</x:v>
      </x:c>
      <x:c r="H36" s="101" t="str">
        <x:v>Committed for user review when available.</x:v>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str">
        <x:v>Completed</x:v>
      </x:c>
      <x:c r="G37" s="101" t="str">
        <x:v>Review Deferred</x:v>
      </x:c>
      <x:c r="H37" s="101" t="str">
        <x:v>Committed for user review when available.</x:v>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str">
        <x:v>Completed</x:v>
      </x:c>
      <x:c r="G38" s="101" t="str">
        <x:v>Review Deferred</x:v>
      </x:c>
      <x:c r="H38" s="101" t="str">
        <x:v>Committed for user review when available.</x:v>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str">
        <x:f>INDEX('Tasks'!$G$2:$G$38,MATCH(A39,'Tasks'!$A$2:$A$38,0))</x:f>
        <x:v>Not Started</x:v>
      </x:c>
      <x:c r="G39" s="101" t="inlineStr">
        <x:is>
          <x:t xml:space="preserve">Not Submitted</x:t>
        </x:is>
      </x:c>
      <x:c r="H39" s="101" t="str"/>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str">
        <x:f>INDEX('Tasks'!$G$2:$G$38,MATCH(A40,'Tasks'!$A$2:$A$38,0))</x:f>
        <x:v>Not Started</x:v>
      </x:c>
      <x:c r="G40" s="101" t="inlineStr">
        <x:is>
          <x:t xml:space="preserve">Not Submitted</x:t>
        </x:is>
      </x:c>
      <x:c r="H40" s="101" t="str"/>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str">
        <x:f>INDEX('Tasks'!$G$2:$G$38,MATCH(A41,'Tasks'!$A$2:$A$38,0))</x:f>
        <x:v>Not Started</x:v>
      </x:c>
      <x:c r="G41" s="101" t="inlineStr">
        <x:is>
          <x:t xml:space="preserve">Not Submitted</x:t>
        </x:is>
      </x:c>
      <x:c r="H41" s="101" t="str"/>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str">
        <x:f>INDEX('Tasks'!$G$2:$G$38,MATCH(A42,'Tasks'!$A$2:$A$38,0))</x:f>
        <x:v>Not Started</x:v>
      </x:c>
      <x:c r="G42" s="101" t="inlineStr">
        <x:is>
          <x:t xml:space="preserve">Not Submitted</x:t>
        </x:is>
      </x:c>
      <x:c r="H42" s="101" t="str"/>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str">
        <x:f>INDEX('Tasks'!$G$2:$G$38,MATCH(A43,'Tasks'!$A$2:$A$38,0))</x:f>
        <x:v>Not Started</x:v>
      </x:c>
      <x:c r="G43" s="101" t="inlineStr">
        <x:is>
          <x:t xml:space="preserve">Not Submitted</x:t>
        </x:is>
      </x:c>
      <x:c r="H43" s="101" t="str"/>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str">
        <x:f>INDEX('Tasks'!$G$2:$G$38,MATCH(A44,'Tasks'!$A$2:$A$38,0))</x:f>
        <x:v>Not Started</x:v>
      </x:c>
      <x:c r="G44" s="101" t="inlineStr">
        <x:is>
          <x:t xml:space="preserve">Not Submitted</x:t>
        </x:is>
      </x:c>
      <x:c r="H44" s="101" t="str"/>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str">
        <x:f>INDEX('Tasks'!$G$2:$G$38,MATCH(A45,'Tasks'!$A$2:$A$38,0))</x:f>
        <x:v>Not Started</x:v>
      </x:c>
      <x:c r="G45" s="101" t="inlineStr">
        <x:is>
          <x:t xml:space="preserve">Not Submitted</x:t>
        </x:is>
      </x:c>
      <x:c r="H45" s="101" t="str"/>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str">
        <x:f>INDEX('Tasks'!$G$2:$G$38,MATCH(A46,'Tasks'!$A$2:$A$38,0))</x:f>
        <x:v>Not Started</x:v>
      </x:c>
      <x:c r="G46" s="101" t="inlineStr">
        <x:is>
          <x:t xml:space="preserve">Not Submitted</x:t>
        </x:is>
      </x:c>
      <x:c r="H46" s="101" t="str"/>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str">
        <x:f>INDEX('Tasks'!$G$2:$G$38,MATCH(A47,'Tasks'!$A$2:$A$38,0))</x:f>
        <x:v>Not Started</x:v>
      </x:c>
      <x:c r="G47" s="101" t="inlineStr">
        <x:is>
          <x:t xml:space="preserve">Not Submitted</x:t>
        </x:is>
      </x:c>
      <x:c r="H47" s="101" t="str"/>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str">
        <x:f>INDEX('Tasks'!$G$2:$G$38,MATCH(A48,'Tasks'!$A$2:$A$38,0))</x:f>
        <x:v>Not Started</x:v>
      </x:c>
      <x:c r="G48" s="101" t="inlineStr">
        <x:is>
          <x:t xml:space="preserve">Not Submitted</x:t>
        </x:is>
      </x:c>
      <x:c r="H48" s="101" t="str"/>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f>INDEX('Tasks'!$G$2:$G$38,MATCH(A49,'Tasks'!$A$2:$A$38,0))</x:f>
        <x:v>Not Started</x:v>
      </x:c>
      <x:c r="G49" s="101" t="inlineStr">
        <x:is>
          <x:t xml:space="preserve">Not Submitted</x:t>
        </x:is>
      </x:c>
      <x:c r="H49" s="101" t="str"/>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f>INDEX('Tasks'!$G$2:$G$38,MATCH(A50,'Tasks'!$A$2:$A$38,0))</x:f>
        <x:v>Not Started</x:v>
      </x:c>
      <x:c r="G50" s="101" t="inlineStr">
        <x:is>
          <x:t xml:space="preserve">Not Submitted</x:t>
        </x:is>
      </x:c>
      <x:c r="H50" s="101" t="str"/>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f>INDEX('Tasks'!$G$2:$G$38,MATCH(A51,'Tasks'!$A$2:$A$38,0))</x:f>
        <x:v>Not Started</x:v>
      </x:c>
      <x:c r="G51" s="101" t="inlineStr">
        <x:is>
          <x:t xml:space="preserve">Not Submitted</x:t>
        </x:is>
      </x:c>
      <x:c r="H51" s="101" t="str"/>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35cd8a497c0c4788"/>
    <x:tablePart xmlns:r="http://schemas.openxmlformats.org/officeDocument/2006/relationships" r:id="Re5ff58deb0b54bb3"/>
  </x:tableParts>
</x:worksheet>
</file>