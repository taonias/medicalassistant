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ada32a4f47e45bd" /></Relationships>
</file>

<file path=xl/workbook.xml><?xml version="1.0" encoding="utf-8"?>
<x:workbook xmlns:x="http://schemas.openxmlformats.org/spreadsheetml/2006/main">
  <x:sheets>
    <x:sheet xmlns:r="http://schemas.openxmlformats.org/officeDocument/2006/relationships" name="Overview" sheetId="1" r:id="Rae19b56dc84f4ea2"/>
    <x:sheet xmlns:r="http://schemas.openxmlformats.org/officeDocument/2006/relationships" name="Tasks" sheetId="2" r:id="R2d7d436200244d7d"/>
    <x:sheet xmlns:r="http://schemas.openxmlformats.org/officeDocument/2006/relationships" name="Known Bugs" sheetId="3" r:id="R067c356e7a8b4320"/>
    <x:sheet xmlns:r="http://schemas.openxmlformats.org/officeDocument/2006/relationships" name="Implementation Plan" sheetId="4" r:id="R9cf2fd93541b4db8"/>
  </x:sheets>
</x:workbook>
</file>

<file path=xl/sharedStrings.xml><?xml version="1.0" encoding="utf-8"?>
<x:sst xmlns:x="http://schemas.openxmlformats.org/spreadsheetml/2006/main">
  <x:si>
    <x:t xml:space="preserve">Status legend</x:t>
  </x:si>
  <x:si>
    <x:t xml:space="preserve">Completed</x:t>
  </x:si>
  <x:si>
    <x:t xml:space="preserve">In Progress</x:t>
  </x:si>
  <x:si>
    <x:t xml:space="preserve">Not Started</x:t>
  </x:si>
  <x:si>
    <x:t xml:space="preserve">ID</x:t>
  </x:si>
  <x:si>
    <x:t xml:space="preserve">Phase</x:t>
  </x:si>
  <x:si>
    <x:t xml:space="preserve">Title</x:t>
  </x:si>
  <x:si>
    <x:t xml:space="preserve">The Task</x:t>
  </x:si>
  <x:si>
    <x:t xml:space="preserve">How it contributes to the bigger picture</x:t>
  </x:si>
  <x:si>
    <x:t xml:space="preserve">Depends On</x:t>
  </x:si>
  <x:si>
    <x:t xml:space="preserve">Status</x:t>
  </x:si>
</x:sst>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Font="1" applyAlignment="1">
      <x:alignment vertical="top" wrapText="1"/>
    </x:xf>
    <x:xf numFmtId="0" fontId="7" fillId="0" borderId="0" xfId="0" applyFont="1" applyAlignment="1">
      <x:alignment vertical="top" wrapText="1"/>
    </x:xf>
    <x:xf numFmtId="0" fontId="8" fillId="0" borderId="0" xfId="0" applyFont="1" applyAlignment="1">
      <x:alignment vertical="top" wrapText="1"/>
    </x:xf>
    <x:xf numFmtId="0" fontId="4" fillId="3" borderId="0" xfId="0" applyFont="1" applyFill="1" applyAlignment="1">
      <x:alignment vertical="top" wrapText="1"/>
    </x:xf>
    <x:xf numFmtId="0" fontId="9" fillId="5" borderId="0" xfId="0" applyFont="1" applyFill="1" applyAlignment="1">
      <x:alignment vertical="top" wrapText="1"/>
    </x:xf>
    <x:xf numFmtId="0" fontId="5" fillId="4" borderId="0" xfId="0" applyFont="1" applyFill="1" applyAlignment="1">
      <x:alignment vertical="top" wrapText="1"/>
    </x:xf>
    <x:xf numFmtId="0" fontId="1" fillId="2" borderId="1" xfId="0" applyFont="1" applyFill="1" applyBorder="1" applyAlignment="1">
      <x:alignment vertical="top" wrapText="1"/>
    </x:xf>
    <x:xf numFmtId="0" fontId="7" fillId="0" borderId="1" xfId="0" applyFont="1" applyBorder="1" applyAlignment="1">
      <x:alignment vertical="top" wrapText="1"/>
    </x:xf>
    <x:xf numFmtId="0" fontId="2" fillId="0" borderId="1" xfId="0" applyFont="1" applyBorder="1" applyAlignment="1">
      <x:alignment horizontal="center"/>
    </x:xf>
    <x:xf numFmtId="0" fontId="10" fillId="0" borderId="1" xfId="0" applyFont="1" applyBorder="1" applyAlignment="1">
      <x:alignment vertical="top" wrapText="1"/>
    </x:xf>
    <x:xf numFmtId="0" fontId="3" fillId="0" borderId="1" xfId="0" applyFont="1" applyBorder="1" applyAlignment="1">
      <x:alignment horizontal="center"/>
    </x:xf>
    <x:xf numFmtId="0" fontId="1" fillId="2" borderId="1" xfId="0" applyFont="1" applyFill="1" applyBorder="1" applyAlignment="1">
      <x:alignment horizontal="center" vertical="center" wrapText="1"/>
    </x:xf>
    <x:xf numFmtId="0" fontId="3" fillId="0" borderId="1" xfId="0" applyFont="1" applyBorder="1" applyAlignment="1">
      <x:alignment vertical="top" wrapText="1"/>
    </x:xf>
    <x:xf numFmtId="0" fontId="2" fillId="0" borderId="1" xfId="0" applyFont="1" applyBorder="1" applyAlignment="1">
      <x:alignment vertical="top" wrapText="1"/>
    </x:xf>
    <x:xf numFmtId="0" fontId="4" fillId="3" borderId="1" xfId="0" applyFont="1" applyFill="1" applyBorder="1" applyAlignment="1">
      <x:alignment horizontal="center" vertical="top"/>
    </x:xf>
    <x:xf numFmtId="0" fontId="5" fillId="4" borderId="1" xfId="0" applyFont="1" applyFill="1" applyBorder="1" applyAlignment="1">
      <x:alignment horizontal="center" vertical="top"/>
    </x:xf>
    <x:xf numFmtId="0" fontId="11" fillId="2" borderId="0" xfId="0" applyFont="1" applyFill="1" applyAlignment="1">
      <x:alignment vertical="center" wrapText="1"/>
    </x:xf>
    <x:xf numFmtId="0" fontId="12" fillId="0" borderId="0" xfId="0" applyFont="1" applyAlignment="1">
      <x:alignment vertical="top" wrapText="1"/>
    </x:xf>
    <x:xf numFmtId="0" fontId="13" fillId="0" borderId="0" xfId="0" applyFont="1" applyAlignment="1">
      <x:alignment vertical="top" wrapText="1"/>
    </x:xf>
    <x:xf numFmtId="0" fontId="14" fillId="6" borderId="0" xfId="0" applyFont="1" applyFill="1" applyAlignment="1">
      <x:alignment horizontal="center" vertical="top"/>
    </x:xf>
    <x:xf numFmtId="0" fontId="15" fillId="3" borderId="0" xfId="0" applyFont="1" applyFill="1" applyAlignment="1">
      <x:alignment vertical="top"/>
    </x:xf>
    <x:xf numFmtId="0" fontId="16" fillId="5" borderId="0" xfId="0" applyFont="1" applyFill="1" applyAlignment="1">
      <x:alignment horizontal="center" vertical="top"/>
    </x:xf>
    <x:xf numFmtId="0" fontId="17" fillId="4" borderId="0" xfId="0" applyFont="1" applyFill="1" applyAlignment="1">
      <x:alignment horizontal="center" vertical="top"/>
    </x:xf>
    <x:xf numFmtId="0" fontId="18" fillId="3" borderId="0" xfId="0" applyFont="1" applyFill="1" applyAlignment="1">
      <x:alignment vertical="top"/>
    </x:xf>
    <x:xf numFmtId="0" fontId="19" fillId="0" borderId="0" xfId="0" applyFont="1" applyAlignment="1">
      <x:alignment vertical="top" wrapText="1"/>
    </x:xf>
    <x:xf numFmtId="0" fontId="20" fillId="0" borderId="0" xfId="0" applyFont="1" applyAlignment="1">
      <x:alignment vertical="top" wrapText="1"/>
    </x:xf>
    <x:xf numFmtId="0" fontId="21" fillId="4" borderId="0" xfId="0" applyFont="1" applyFill="1" applyAlignment="1">
      <x:alignment horizontal="center" vertical="top"/>
    </x:xf>
    <x:xf numFmtId="0" fontId="22" fillId="3" borderId="0" xfId="0" applyFont="1" applyFill="1" applyAlignment="1">
      <x:alignment vertical="top"/>
    </x:xf>
    <x:xf numFmtId="0" fontId="23" fillId="0" borderId="0" xfId="0" applyFont="1" applyAlignment="1">
      <x:alignment vertical="top" wrapText="1"/>
    </x:xf>
    <x:xf numFmtId="0" fontId="24" fillId="0" borderId="0" xfId="0" applyFont="1" applyAlignment="1">
      <x:alignment vertical="top" wrapText="1"/>
    </x:xf>
    <x:xf numFmtId="0" fontId="25" fillId="5" borderId="0" xfId="0" applyFont="1" applyFill="1" applyAlignment="1">
      <x:alignment horizontal="center" vertical="top"/>
    </x:xf>
    <x:xf numFmtId="0" fontId="26" fillId="4" borderId="0" xfId="0" applyFont="1" applyFill="1" applyAlignment="1">
      <x:alignment horizontal="center" vertical="top"/>
    </x:xf>
    <x:xf numFmtId="0" fontId="9" fillId="5" borderId="0" xfId="0" applyFont="1" applyFill="1" applyAlignment="1">
      <x:alignment vertical="top"/>
    </x:xf>
    <x:xf numFmtId="0" fontId="27" fillId="3" borderId="0" xfId="0" applyFont="1" applyFill="1" applyAlignment="1">
      <x:alignment vertical="top"/>
    </x:xf>
    <x:xf numFmtId="0" fontId="28" fillId="3" borderId="0" xfId="0" applyFont="1" applyFill="1" applyAlignment="1">
      <x:alignment vertical="top"/>
    </x:xf>
    <x:xf numFmtId="0" fontId="29" fillId="6" borderId="0" xfId="0" applyFont="1" applyFill="1" applyAlignment="1">
      <x:alignment horizontal="center" vertical="top"/>
    </x:xf>
    <x:xf numFmtId="0" fontId="30" fillId="4" borderId="0" xfId="0" applyFont="1" applyFill="1" applyAlignment="1">
      <x:alignment horizontal="center" vertical="top"/>
    </x:xf>
    <x:xf numFmtId="0" fontId="31" fillId="4" borderId="0" xfId="0" applyFont="1" applyFill="1" applyAlignment="1">
      <x:alignment vertical="top"/>
    </x:xf>
    <x:xf numFmtId="0" fontId="32" fillId="5" borderId="0" xfId="0" applyFont="1" applyFill="1" applyAlignment="1">
      <x:alignment horizontal="center" vertical="top"/>
    </x:xf>
    <x:xf numFmtId="0" fontId="22" fillId="3" borderId="1" xfId="0" applyFont="1" applyFill="1" applyBorder="1" applyAlignment="1">
      <x:alignment horizontal="center" vertical="top"/>
    </x:xf>
    <x:xf numFmtId="0" fontId="33" fillId="4" borderId="0" xfId="0" applyFont="1" applyFill="1" applyAlignment="1">
      <x:alignment horizontal="center" vertical="top"/>
    </x:xf>
    <x:xf numFmtId="0" fontId="34" fillId="3" borderId="0" xfId="0" applyFont="1" applyFill="1" applyAlignment="1">
      <x:alignment vertical="top"/>
    </x:xf>
    <x:xf numFmtId="0" fontId="35" fillId="5" borderId="0" xfId="0" applyFont="1" applyFill="1" applyAlignment="1">
      <x:alignment horizontal="center" vertical="top"/>
    </x:xf>
    <x:xf numFmtId="0" fontId="36" fillId="4" borderId="0" xfId="0" applyFont="1" applyFill="1" applyAlignment="1">
      <x:alignment vertical="top"/>
    </x:xf>
    <x:xf numFmtId="0" fontId="37" fillId="3" borderId="1" xfId="0" applyFont="1" applyFill="1" applyBorder="1" applyAlignment="1">
      <x:alignment horizontal="center" vertical="top"/>
    </x:xf>
    <x:xf numFmtId="0" fontId="23" fillId="0" borderId="1" xfId="0" applyFont="1" applyBorder="1" applyAlignment="1">
      <x:alignment vertical="top" wrapText="1"/>
    </x:xf>
    <x:xf numFmtId="0" fontId="24" fillId="0" borderId="1" xfId="0" applyFont="1" applyBorder="1" applyAlignment="1">
      <x:alignment vertical="top" wrapText="1"/>
    </x:xf>
    <x:xf numFmtId="0" fontId="37" fillId="3" borderId="0" xfId="0" applyFont="1" applyFill="1" applyAlignment="1">
      <x:alignment vertical="top"/>
    </x:xf>
    <x:xf numFmtId="0" fontId="7" fillId="0" borderId="0" xfId="0" applyFont="1" applyAlignment="1">
      <x:alignment vertical="top" wrapText="1"/>
    </x:xf>
    <x:xf numFmtId="0" fontId="0" fillId="0" borderId="0" xfId="0"/>
    <x:xf numFmtId="0" fontId="4" fillId="7" borderId="0" xfId="0" applyNumberFormat="1" applyFont="1" applyFill="1" applyBorder="1" applyAlignment="1">
      <x:alignment vertical="top" wrapText="1"/>
    </x:xf>
    <x:xf numFmtId="0" fontId="0" fillId="7" borderId="0" xfId="0" applyNumberFormat="1" applyFont="1" applyFill="1" applyBorder="1"/>
    <x:xf numFmtId="0" fontId="38" fillId="7" borderId="0" xfId="0" applyNumberFormat="1" applyFont="1" applyFill="1" applyBorder="1"/>
    <x:xf numFmtId="0" fontId="9" fillId="8" borderId="0" xfId="0" applyNumberFormat="1" applyFont="1" applyFill="1" applyBorder="1" applyAlignment="1">
      <x:alignment vertical="top" wrapText="1"/>
    </x:xf>
    <x:xf numFmtId="0" fontId="0" fillId="8" borderId="0" xfId="0" applyNumberFormat="1" applyFont="1" applyFill="1" applyBorder="1"/>
    <x:xf numFmtId="0" fontId="39" fillId="8" borderId="0" xfId="0" applyNumberFormat="1" applyFont="1" applyFill="1" applyBorder="1"/>
    <x:xf numFmtId="0" fontId="5" fillId="9" borderId="0" xfId="0" applyNumberFormat="1" applyFont="1" applyFill="1" applyBorder="1" applyAlignment="1">
      <x:alignment vertical="top" wrapText="1"/>
    </x:xf>
    <x:xf numFmtId="0" fontId="0" fillId="9" borderId="0" xfId="0" applyNumberFormat="1" applyFont="1" applyFill="1" applyBorder="1"/>
    <x:xf numFmtId="0" fontId="40" fillId="9" borderId="0" xfId="0" applyNumberFormat="1" applyFont="1" applyFill="1" applyBorder="1" applyAlignment="1">
      <x:alignment vertical="top" wrapText="1"/>
    </x:xf>
    <x:xf numFmtId="0" fontId="41" fillId="9" borderId="0" xfId="0" applyNumberFormat="1" applyFont="1" applyFill="1" applyBorder="1"/>
    <x:xf numFmtId="0" fontId="1" fillId="2" borderId="1" xfId="0" applyNumberFormat="1" applyFont="1" applyFill="1" applyBorder="1" applyAlignment="1">
      <x:alignment horizontal="center" vertical="center" wrapText="1"/>
    </x:xf>
    <x:xf numFmtId="0" fontId="3"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4" fillId="3" borderId="1" xfId="0" applyNumberFormat="1" applyFont="1" applyFill="1" applyBorder="1" applyAlignment="1">
      <x:alignment horizontal="center" vertical="top" wrapText="1"/>
    </x:xf>
    <x:xf numFmtId="0" fontId="5" fillId="4"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center" wrapText="1"/>
    </x:xf>
    <x:xf numFmtId="0" fontId="4" fillId="9" borderId="1" xfId="0" applyNumberFormat="1" applyFont="1" applyFill="1" applyBorder="1" applyAlignment="1">
      <x:alignment horizontal="center" vertical="top" wrapText="1"/>
    </x:xf>
    <x:xf numFmtId="0" fontId="42" fillId="9" borderId="1" xfId="0" applyNumberFormat="1" applyFont="1" applyFill="1" applyBorder="1" applyAlignment="1">
      <x:alignment horizontal="center" vertical="top" wrapText="1"/>
    </x:xf>
    <x:xf numFmtId="0" fontId="42" fillId="9" borderId="1" xfId="0" applyNumberFormat="1" applyFont="1" applyFill="1" applyBorder="1" applyAlignment="1">
      <x:alignment horizontal="center" vertical="center" wrapText="1"/>
    </x:xf>
    <x:xf numFmtId="0" fontId="5" fillId="9" borderId="1" xfId="0" applyNumberFormat="1" applyFont="1" applyFill="1" applyBorder="1" applyAlignment="1">
      <x:alignment horizontal="center" vertical="top" wrapText="1"/>
    </x:xf>
    <x:xf numFmtId="0" fontId="40" fillId="9" borderId="1" xfId="0" applyNumberFormat="1" applyFont="1" applyFill="1" applyBorder="1" applyAlignment="1">
      <x:alignment horizontal="center" vertical="top" wrapText="1"/>
    </x:xf>
    <x:xf numFmtId="0" fontId="40" fillId="9" borderId="1" xfId="0" applyNumberFormat="1" applyFont="1" applyFill="1" applyBorder="1" applyAlignment="1">
      <x:alignment horizontal="center" vertical="center" wrapText="1"/>
    </x:xf>
    <x:xf numFmtId="0" fontId="0" fillId="10" borderId="0" xfId="0" applyNumberFormat="1" applyFont="1" applyFill="1" applyBorder="1"/>
    <x:xf numFmtId="0" fontId="43" fillId="10" borderId="0" xfId="0" applyNumberFormat="1" applyFont="1" applyFill="1" applyBorder="1"/>
    <x:xf numFmtId="0" fontId="43" fillId="10" borderId="1" xfId="0" applyNumberFormat="1" applyFont="1" applyFill="1" applyBorder="1"/>
    <x:xf numFmtId="0" fontId="43" fillId="10" borderId="1" xfId="0" applyNumberFormat="1" applyFont="1" applyFill="1" applyBorder="1" applyAlignment="1">
      <x:alignment wrapText="1"/>
    </x:xf>
    <x:xf numFmtId="0" fontId="43" fillId="10" borderId="1" xfId="0" applyNumberFormat="1" applyFont="1" applyFill="1" applyBorder="1" applyAlignment="1">
      <x:alignment horizontal="center" wrapText="1"/>
    </x:xf>
    <x:xf numFmtId="0" fontId="43" fillId="10" borderId="1" xfId="0" applyNumberFormat="1" applyFont="1" applyFill="1" applyBorder="1" applyAlignment="1">
      <x:alignment horizontal="center" vertical="center" wrapText="1"/>
    </x:xf>
    <x:xf numFmtId="0" fontId="43" fillId="10" borderId="0" xfId="0" applyNumberFormat="1" applyFont="1" applyFill="1" applyBorder="1" applyAlignment="1">
      <x:alignment horizontal="left"/>
    </x:xf>
    <x:xf numFmtId="0" fontId="43" fillId="10" borderId="0" xfId="0" applyNumberFormat="1" applyFont="1" applyFill="1" applyBorder="1" applyAlignment="1">
      <x:alignment horizontal="left" vertical="center"/>
    </x:xf>
    <x:xf numFmtId="0" fontId="0" fillId="11" borderId="0" xfId="0" applyNumberFormat="1" applyFont="1" applyFill="1" applyBorder="1"/>
    <x:xf numFmtId="0" fontId="44" fillId="11" borderId="0" xfId="0" applyNumberFormat="1" applyFont="1" applyFill="1" applyBorder="1"/>
    <x:xf numFmtId="0" fontId="44" fillId="11" borderId="0" xfId="0" applyNumberFormat="1" applyFont="1" applyFill="1" applyBorder="1" applyAlignment="1">
      <x:alignment wrapText="1"/>
    </x:xf>
    <x:xf numFmtId="0" fontId="44" fillId="11" borderId="0" xfId="0" applyNumberFormat="1" applyFont="1" applyFill="1" applyBorder="1" applyAlignment="1">
      <x:alignment vertical="center" wrapText="1"/>
    </x:xf>
    <x:xf numFmtId="0" fontId="0" fillId="12" borderId="0" xfId="0" applyNumberFormat="1" applyFont="1" applyFill="1" applyBorder="1"/>
    <x:xf numFmtId="0" fontId="45" fillId="12" borderId="0" xfId="0" applyNumberFormat="1" applyFont="1" applyFill="1" applyBorder="1"/>
    <x:xf numFmtId="0" fontId="45" fillId="12" borderId="1" xfId="0" applyNumberFormat="1" applyFont="1" applyFill="1" applyBorder="1"/>
    <x:xf numFmtId="0" fontId="45" fillId="12" borderId="1" xfId="0" applyNumberFormat="1" applyFont="1" applyFill="1" applyBorder="1" applyAlignment="1">
      <x:alignment wrapText="1"/>
    </x:xf>
    <x:xf numFmtId="0" fontId="45" fillId="12" borderId="1" xfId="0" applyNumberFormat="1" applyFont="1" applyFill="1" applyBorder="1" applyAlignment="1">
      <x:alignment horizontal="center" wrapText="1"/>
    </x:xf>
    <x:xf numFmtId="0" fontId="45" fillId="12" borderId="1" xfId="0" applyNumberFormat="1" applyFont="1" applyFill="1" applyBorder="1" applyAlignment="1">
      <x:alignment horizontal="center" vertical="center" wrapText="1"/>
    </x:xf>
    <x:xf numFmtId="0" fontId="0" fillId="0" borderId="0" xfId="0" applyNumberFormat="1" applyFont="1" applyFill="1" applyBorder="1"/>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10" borderId="1" xfId="0" applyNumberFormat="1" applyFont="1" applyFill="1" applyBorder="1" applyAlignment="1">
      <x:alignment vertical="top" wrapText="1"/>
    </x:xf>
    <x:xf numFmtId="0" fontId="43" fillId="10" borderId="1" xfId="0" applyNumberFormat="1" applyFont="1" applyFill="1" applyBorder="1" applyAlignment="1">
      <x:alignment vertical="top" wrapText="1"/>
    </x:xf>
    <x:xf numFmtId="0" fontId="43" fillId="10" borderId="1" xfId="0" applyNumberFormat="1" applyFont="1" applyFill="1" applyBorder="1" applyAlignment="1">
      <x:alignment horizontal="center" vertical="top" wrapText="1"/>
    </x:xf>
    <x:xf numFmtId="0" fontId="46" fillId="0" borderId="1" xfId="0" applyNumberFormat="1" applyFont="1" applyFill="1" applyBorder="1" applyAlignment="1">
      <x:alignment vertical="top" wrapText="1"/>
    </x:xf>
    <x:xf numFmtId="0" fontId="43" fillId="10" borderId="0" xfId="0" applyNumberFormat="1" applyFont="1" applyFill="1" applyBorder="1" applyAlignment="1">
      <x:alignment vertical="center"/>
    </x:xf>
    <x:xf numFmtId="0" fontId="0" fillId="12" borderId="1" xfId="0" applyNumberFormat="1" applyFont="1" applyFill="1" applyBorder="1" applyAlignment="1">
      <x:alignment vertical="top" wrapText="1"/>
    </x:xf>
  </x:cellXfs>
  <x:cellStyles count="1">
    <x:cellStyle name="Κανονικό" xfId="0"/>
  </x:cellStyles>
  <x:dxfs count="4">
    <x:dxf>
      <x:font>
        <x:b/>
        <x:color rgb="FF006100"/>
      </x:font>
      <x:fill>
        <x:patternFill patternType="solid">
          <x:bgColor rgb="FFC6EFCE"/>
        </x:patternFill>
      </x:fill>
    </x:dxf>
    <x:dxf>
      <x:font>
        <x:b/>
        <x:color rgb="FF9C6500"/>
      </x:font>
      <x:fill>
        <x:patternFill patternType="solid">
          <x:bgColor rgb="FFFFE699"/>
        </x:patternFill>
      </x:fill>
    </x:dxf>
    <x:dxf>
      <x:font>
        <x:b/>
        <x:color rgb="FF9C0006"/>
      </x:font>
      <x:fill>
        <x:patternFill patternType="solid">
          <x:bgColor rgb="FFF4CCCC"/>
        </x:patternFill>
      </x:fill>
    </x:dxf>
    <x:dxf>
      <x:font>
        <x:color rgb="FF666666"/>
      </x:font>
      <x:fill>
        <x:patternFill patternType="solid">
          <x:bgColor rgb="FFF2F2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170e4817224a37" /><Relationship Type="http://schemas.openxmlformats.org/officeDocument/2006/relationships/theme" Target="/xl/theme/theme1.xml" Id="Rba20646a693d4609" /><Relationship Type="http://schemas.openxmlformats.org/officeDocument/2006/relationships/sharedStrings" Target="/xl/sharedStrings.xml" Id="R218b9e748dab4af8" /><Relationship Type="http://schemas.openxmlformats.org/officeDocument/2006/relationships/worksheet" Target="/xl/worksheets/sheet1.xml" Id="Rae19b56dc84f4ea2" /><Relationship Type="http://schemas.openxmlformats.org/officeDocument/2006/relationships/worksheet" Target="/xl/worksheets/sheet2.xml" Id="R2d7d436200244d7d" /><Relationship Type="http://schemas.openxmlformats.org/officeDocument/2006/relationships/worksheet" Target="/xl/worksheets/sheet3.xml" Id="R067c356e7a8b4320" /><Relationship Type="http://schemas.openxmlformats.org/officeDocument/2006/relationships/worksheet" Target="/xl/worksheets/sheet4.xml" Id="R9cf2fd93541b4db8"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4217b7315abd46c8" /></Relationships>
</file>

<file path=xl/worksheets/_rels/sheet4.xml.rels>&#65279;<?xml version="1.0" encoding="utf-8"?><Relationships xmlns="http://schemas.openxmlformats.org/package/2006/relationships"><Relationship Type="http://schemas.openxmlformats.org/officeDocument/2006/relationships/table" Target="/xl/tables/table2.xml" Id="R2d0b2de16fac45d0" /><Relationship Type="http://schemas.openxmlformats.org/officeDocument/2006/relationships/table" Target="/xl/tables/table3.xml" Id="R57531d8bf1254f7d" /></Relationships>
</file>

<file path=xl/worksheets/sheet1.xml><?xml version="1.0" encoding="utf-8"?>
<x:worksheet xmlns:x="http://schemas.openxmlformats.org/spreadsheetml/2006/main">
  <x:sheetViews>
    <x:sheetView showGridLines="0" workbookViewId="0"/>
  </x:sheetViews>
  <x:sheetFormatPr defaultRowHeight="15"/>
  <x:cols>
    <x:col min="1" max="1" width="3" customWidth="1"/>
    <x:col min="2" max="2" width="46" customWidth="1"/>
    <x:col min="3" max="5" width="12" customWidth="1"/>
    <x:col min="6" max="8" width="14" customWidth="1"/>
  </x:cols>
  <x:sheetData>
    <x:row r="2" ht="40.5" customHeight="1">
      <x:c r="B2" s="1" t="str">
        <x:v>Event Bus &amp; Transcription Worker - Developer Task List</x:v>
      </x:c>
      <x:c r="C2"/>
      <x:c r="D2"/>
      <x:c r="E2"/>
    </x:row>
    <x:row r="3">
      <x:c r="B3" s="49" t="str">
        <x:v>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v>
      </x:c>
      <x:c r="C3" s="50"/>
      <x:c r="D3" s="50"/>
      <x:c r="E3" s="50"/>
      <x:c r="F3" s="50"/>
      <x:c r="G3" s="50"/>
      <x:c r="H3" s="50"/>
    </x:row>
    <x:row r="4">
      <x:c r="B4" s="50"/>
      <x:c r="C4" s="50"/>
      <x:c r="D4" s="50"/>
      <x:c r="E4" s="50"/>
      <x:c r="F4" s="50"/>
      <x:c r="G4" s="50"/>
      <x:c r="H4" s="50"/>
    </x:row>
    <x:row r="5">
      <x:c r="B5" s="50"/>
      <x:c r="C5" s="50"/>
      <x:c r="D5" s="50"/>
      <x:c r="E5" s="50"/>
      <x:c r="F5" s="50"/>
      <x:c r="G5" s="50"/>
      <x:c r="H5" s="50"/>
    </x:row>
    <x:row r="6">
      <x:c r="B6" s="50"/>
      <x:c r="C6" s="50"/>
      <x:c r="D6" s="50"/>
      <x:c r="E6" s="50"/>
      <x:c r="F6" s="50"/>
      <x:c r="G6" s="50"/>
      <x:c r="H6" s="50"/>
    </x:row>
    <x:row r="8" ht="31.5" customHeight="1">
      <x:c r="B8" s="3" t="str">
        <x:v>The two invariants every task must preserve</x:v>
      </x:c>
      <x:c r="C8"/>
      <x:c r="D8"/>
      <x:c r="E8"/>
    </x:row>
    <x:row r="9" ht="64" customHeight="1">
      <x:c r="B9" s="2" t="str">
        <x:v>1. Accepted work never disappears - business state and outbox intent commit together; a consumer ACK happens only after its durable inbox/business/outbox transaction succeeds.</x:v>
      </x:c>
      <x:c r="C9"/>
      <x:c r="D9"/>
      <x:c r="E9"/>
    </x:row>
    <x:row r="10" ht="64" customHeight="1">
      <x:c r="B10" s="2" t="str">
        <x:v>2. Clinical content never rides the bus or normal telemetry - duplicate, delayed and deleted work converges through immutable event IDs plus authoritative state/revision gates.</x:v>
      </x:c>
      <x:c r="C10"/>
      <x:c r="D10"/>
      <x:c r="E10"/>
    </x:row>
    <x:row r="11" ht="42" customHeight="1">
      <x:c r="B11" s="2" t="str">
        <x:v>Full reasoning: project-docs/event bus implementations and .scratch/event-bus-transcription-worker/PRD.md (ADRs 0001-0010).</x:v>
      </x:c>
      <x:c r="C11"/>
      <x:c r="D11"/>
      <x:c r="E11"/>
    </x:row>
    <x:row r="12" ht="42" customHeight="1">
      <x:c r="B12" t="str">
        <x:v>Delivery rule: tasks share implementation groups, but each task remains its own code-review gate. Do not start the next task until the current task's code review is Approved. See Implementation Plan.</x:v>
      </x:c>
      <x:c r="C12"/>
      <x:c r="D12"/>
      <x:c r="E12"/>
    </x:row>
    <x:row r="13" ht="15.75" customHeight="1">
      <x:c r="B13" s="3" t="s">
        <x:v>0</x:v>
      </x:c>
    </x:row>
    <x:row r="14">
      <x:c r="B14" s="51" t="s">
        <x:v>1</x:v>
      </x:c>
      <x:c r="C14" s="53"/>
      <x:c r="D14" s="53"/>
      <x:c r="E14" s="53"/>
    </x:row>
    <x:row r="15">
      <x:c r="B15" s="54" t="s">
        <x:v>2</x:v>
      </x:c>
      <x:c r="C15" s="56"/>
      <x:c r="D15" s="56"/>
      <x:c r="E15" s="56"/>
    </x:row>
    <x:row r="16">
      <x:c r="B16" s="59" t="s">
        <x:v>3</x:v>
      </x:c>
      <x:c r="C16" s="60"/>
      <x:c r="D16" s="60"/>
      <x:c r="E16" s="60"/>
    </x:row>
    <x:row r="18" ht="15.75" customHeight="1">
      <x:c r="B18" s="3" t="str">
        <x:v>Phases</x:v>
      </x:c>
      <x:c r="C18"/>
      <x:c r="D18"/>
      <x:c r="E18"/>
    </x:row>
    <x:row r="19">
      <x:c r="B19" s="7" t="str">
        <x:v>Phase</x:v>
      </x:c>
      <x:c r="C19" s="7" t="str">
        <x:v>Tasks</x:v>
      </x:c>
      <x:c r="D19" s="7" t="str">
        <x:v>Completed</x:v>
      </x:c>
      <x:c r="E19" s="7" t="str">
        <x:v>Remaining</x:v>
      </x:c>
    </x:row>
    <x:row r="20">
      <x:c r="B20" s="8" t="str">
        <x:v>0 - Foundations</x:v>
      </x:c>
      <x:c r="C20" s="9" t="n">
        <x:f>COUNTIF('Tasks'!$B$2:$B$999,B20)</x:f>
        <x:v>3</x:v>
      </x:c>
      <x:c r="D20" s="9" t="n">
        <x:f>COUNTIFS('Tasks'!$B$2:$B$999,B20,'Tasks'!$G$2:$G$999,"Completed")</x:f>
        <x:v>1</x:v>
      </x:c>
      <x:c r="E20" s="9" t="n">
        <x:f t="shared" ref="E20:E27" si="0">C20-D20</x:f>
        <x:v>2</x:v>
      </x:c>
    </x:row>
    <x:row r="21">
      <x:c r="B21" s="8" t="str">
        <x:v>1 - Event Bus Core</x:v>
      </x:c>
      <x:c r="C21" s="9" t="n">
        <x:f>COUNTIF('Tasks'!$B$2:$B$999,B21)</x:f>
        <x:v>6</x:v>
      </x:c>
      <x:c r="D21" s="9" t="n">
        <x:f>COUNTIFS('Tasks'!$B$2:$B$999,B21,'Tasks'!$G$2:$G$999,"Completed")</x:f>
        <x:v>0</x:v>
      </x:c>
      <x:c r="E21" s="9" t="n">
        <x:f t="shared" si="0">C21-D21</x:f>
        <x:v>6</x:v>
      </x:c>
    </x:row>
    <x:row r="22">
      <x:c r="B22" s="8" t="str">
        <x:v>2 - Durable Publication</x:v>
      </x:c>
      <x:c r="C22" s="9" t="n">
        <x:f>COUNTIF('Tasks'!$B$2:$B$999,B22)</x:f>
        <x:v>4</x:v>
      </x:c>
      <x:c r="D22" s="9" t="n">
        <x:f>COUNTIFS('Tasks'!$B$2:$B$999,B22,'Tasks'!$G$2:$G$999,"Completed")</x:f>
        <x:v>0</x:v>
      </x:c>
      <x:c r="E22" s="9" t="n">
        <x:f t="shared" si="0">C22-D22</x:f>
        <x:v>4</x:v>
      </x:c>
    </x:row>
    <x:row r="23">
      <x:c r="B23" s="8" t="str">
        <x:v>3 - Transcription Worker</x:v>
      </x:c>
      <x:c r="C23" s="9" t="n">
        <x:f>COUNTIF('Tasks'!$B$2:$B$999,B23)</x:f>
        <x:v>8</x:v>
      </x:c>
      <x:c r="D23" s="9" t="n">
        <x:f>COUNTIFS('Tasks'!$B$2:$B$999,B23,'Tasks'!$G$2:$G$999,"Completed")</x:f>
        <x:v>0</x:v>
      </x:c>
      <x:c r="E23" s="9" t="n">
        <x:f t="shared" si="0">C23-D23</x:f>
        <x:v>8</x:v>
      </x:c>
    </x:row>
    <x:row r="24">
      <x:c r="B24" s="8" t="str">
        <x:v>4 - Downstream &amp; Deletion</x:v>
      </x:c>
      <x:c r="C24" s="9" t="n">
        <x:f>COUNTIF('Tasks'!$B$2:$B$999,B24)</x:f>
        <x:v>5</x:v>
      </x:c>
      <x:c r="D24" s="9" t="n">
        <x:f>COUNTIFS('Tasks'!$B$2:$B$999,B24,'Tasks'!$G$2:$G$999,"Completed")</x:f>
        <x:v>0</x:v>
      </x:c>
      <x:c r="E24" s="9" t="n">
        <x:f t="shared" si="0">C24-D24</x:f>
        <x:v>5</x:v>
      </x:c>
    </x:row>
    <x:row r="25">
      <x:c r="B25" s="8" t="str">
        <x:v>5 - Security &amp; Observability</x:v>
      </x:c>
      <x:c r="C25" s="9" t="n">
        <x:f>COUNTIF('Tasks'!$B$2:$B$999,B25)</x:f>
        <x:v>4</x:v>
      </x:c>
      <x:c r="D25" s="9" t="n">
        <x:f>COUNTIFS('Tasks'!$B$2:$B$999,B25,'Tasks'!$G$2:$G$999,"Completed")</x:f>
        <x:v>0</x:v>
      </x:c>
      <x:c r="E25" s="9" t="n">
        <x:f t="shared" si="0">C25-D25</x:f>
        <x:v>4</x:v>
      </x:c>
    </x:row>
    <x:row r="26">
      <x:c r="B26" s="8" t="str">
        <x:v>6 - Containers &amp; Operations</x:v>
      </x:c>
      <x:c r="C26" s="9" t="n">
        <x:f>COUNTIF('Tasks'!$B$2:$B$999,B26)</x:f>
        <x:v>3</x:v>
      </x:c>
      <x:c r="D26" s="9" t="n">
        <x:f>COUNTIFS('Tasks'!$B$2:$B$999,B26,'Tasks'!$G$2:$G$999,"Completed")</x:f>
        <x:v>0</x:v>
      </x:c>
      <x:c r="E26" s="9" t="n">
        <x:f t="shared" si="0">C26-D26</x:f>
        <x:v>3</x:v>
      </x:c>
    </x:row>
    <x:row r="27">
      <x:c r="B27" s="8" t="str">
        <x:v>7 - Verification &amp; Removal</x:v>
      </x:c>
      <x:c r="C27" s="9" t="n">
        <x:f>COUNTIF('Tasks'!$B$2:$B$999,B27)</x:f>
        <x:v>4</x:v>
      </x:c>
      <x:c r="D27" s="9" t="n">
        <x:f>COUNTIFS('Tasks'!$B$2:$B$999,B27,'Tasks'!$G$2:$G$999,"Completed")</x:f>
        <x:v>0</x:v>
      </x:c>
      <x:c r="E27" s="9" t="n">
        <x:f t="shared" si="0">C27-D27</x:f>
        <x:v>4</x:v>
      </x:c>
    </x:row>
    <x:row r="28">
      <x:c r="B28" s="10" t="str">
        <x:v>Total</x:v>
      </x:c>
      <x:c r="C28" s="11" t="n">
        <x:f>SUM(C20:C27)</x:f>
        <x:v>37</x:v>
      </x:c>
      <x:c r="D28" s="11" t="n">
        <x:f>SUM(D20:D27)</x:f>
        <x:v>1</x:v>
      </x:c>
      <x:c r="E28" s="11" t="n">
        <x:f>SUM(E20:E27)</x:f>
        <x:v>36</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defaultRowHeight="15"/>
  <x:cols>
    <x:col min="1" max="1" width="7" customWidth="1"/>
    <x:col min="2" max="2" width="24" customWidth="1"/>
    <x:col min="3" max="3" width="30" customWidth="1"/>
    <x:col min="4" max="4" width="66" customWidth="1"/>
    <x:col min="5" max="5" width="54" customWidth="1"/>
    <x:col min="6" max="6" width="11" customWidth="1"/>
    <x:col min="7" max="7" width="13" customWidth="1"/>
  </x:cols>
  <x:sheetData>
    <x:row r="1" ht="26.100000381469727" customHeight="1">
      <x:c r="A1" s="61" t="s">
        <x:v>4</x:v>
      </x:c>
      <x:c r="B1" s="61" t="s">
        <x:v>5</x:v>
      </x:c>
      <x:c r="C1" s="61" t="s">
        <x:v>6</x:v>
      </x:c>
      <x:c r="D1" s="61" t="s">
        <x:v>7</x:v>
      </x:c>
      <x:c r="E1" s="61" t="s">
        <x:v>8</x:v>
      </x:c>
      <x:c r="F1" s="61" t="s">
        <x:v>9</x:v>
      </x:c>
      <x:c r="G1" s="61" t="s">
        <x:v>10</x:v>
      </x:c>
    </x:row>
    <x:row r="2" ht="72" customHeight="1">
      <x:c r="A2" s="62" t="str">
        <x:v>T01</x:v>
      </x:c>
      <x:c r="B2" s="63" t="str">
        <x:v>0 - Foundations</x:v>
      </x:c>
      <x:c r="C2" s="63" t="str">
        <x:v>Design documentation</x:v>
      </x:c>
      <x:c r="D2" s="63" t="str">
        <x:v>The Consultation Processing glossary, current-state analysis, eShop reference analysis, target architecture, event contracts, reliability/security/testing/runbooks, ADRs 0001-0010, and ready-for-agent PRD exist. Read the ADRs before implementation; they are constraints, not suggestions.</x:v>
      </x:c>
      <x:c r="E2" s="63" t="str">
        <x:v>Every implementation task traces to an accepted decision and shares one vocabulary. The documentation explains why the system deliberately strengthens the eShop sample for clinical data and durable delivery.</x:v>
      </x:c>
      <x:c r="F2" s="63"/>
      <x:c r="G2" s="67" t="str">
        <x:v>Completed</x:v>
      </x:c>
    </x:row>
    <x:row r="3" ht="72" customHeight="1">
      <x:c r="A3" s="62" t="str">
        <x:v>T02</x:v>
      </x:c>
      <x:c r="B3" s="63" t="str">
        <x:v>0 - Foundations</x:v>
      </x:c>
      <x:c r="C3" s="63" t="str">
        <x:v>Root Compose acceptance seam</x:v>
      </x:c>
      <x:c r="D3" s="63" t="str">
        <x:v>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v>
      </x:c>
      <x:c r="E3" s="63" t="str">
        <x:v>This is the highest stable test seam. Every task below should advance externally visible behavior here rather than locking tests to internal classes.</x:v>
      </x:c>
      <x:c r="F3" s="63" t="str">
        <x:v>T01</x:v>
      </x:c>
      <x:c r="G3" s="70" t="str">
        <x:v>Not Started</x:v>
      </x:c>
    </x:row>
    <x:row r="4" ht="72" customHeight="1">
      <x:c r="A4" s="62" t="str">
        <x:v>T03</x:v>
      </x:c>
      <x:c r="B4" s="63" t="str">
        <x:v>0 - Foundations</x:v>
      </x:c>
      <x:c r="C4" s="63" t="str">
        <x:v>Persistence schema &amp; migration ownership</x:v>
      </x:c>
      <x:c r="D4" s="63" t="str">
        <x:v>Add expand-compatible migrations for outbox, inbox, Transcript revision/concurrency, stable source identity where required, and content-free deletion tombstone/cleanup tracking. Provide the single deployment migration job; API and worker startup must never run migrations automatically.</x:v>
      </x:c>
      <x:c r="E4" s="63" t="str">
        <x:v>The worker and backend share one Consultation Processing database, so a single compatible schema and migration owner protect independent deployments from startup races.</x:v>
      </x:c>
      <x:c r="F4" s="63" t="str">
        <x:v>T02</x:v>
      </x:c>
      <x:c r="G4" s="70" t="str">
        <x:v>Not Started</x:v>
      </x:c>
    </x:row>
    <x:row r="5" ht="72" customHeight="1">
      <x:c r="A5" s="62" t="str">
        <x:v>T04</x:v>
      </x:c>
      <x:c r="B5" s="63" t="str">
        <x:v>1 - Event Bus Core</x:v>
      </x:c>
      <x:c r="C5" s="63" t="str">
        <x:v>Integration-event envelope &amp; stable names</x:v>
      </x:c>
      <x:c r="D5" s="63" t="str">
        <x:v>Introduce the broker-independent Integration Event envelope with immutable eventId, explicit eventType/version, occurredAtUtc, producer, correlationId, causationId, and minimal payload. Map CLR contracts explicitly to the accepted routing keys; reject duplicates and unsupported versions.</x:v>
      </x:c>
      <x:c r="E5" s="63" t="str">
        <x:v>Stable wire names let code evolve without silently breaking distributed contracts and provide one durable identity for outbox, RabbitMQ, inbox, and replay.</x:v>
      </x:c>
      <x:c r="F5" s="63" t="str">
        <x:v>T02</x:v>
      </x:c>
      <x:c r="G5" s="70" t="str">
        <x:v>Not Started</x:v>
      </x:c>
    </x:row>
    <x:row r="6" ht="57" customHeight="1">
      <x:c r="A6" s="62" t="str">
        <x:v>T05</x:v>
      </x:c>
      <x:c r="B6" s="63" t="str">
        <x:v>1 - Event Bus Core</x:v>
      </x:c>
      <x:c r="C6" s="63" t="str">
        <x:v>Typed handlers &amp; subscription registry</x:v>
      </x:c>
      <x:c r="D6" s="63" t="str">
        <x:v>Add typed integration-event handlers, subscription registration, scoped dispatch, serializer configuration, and startup validation that every binding maps to exactly one supported contract. Keep application handlers independent of RabbitMQ APIs.</x:v>
      </x:c>
      <x:c r="E6" s="63" t="str">
        <x:v>This preserves the useful eShop module boundary: domain/application code handles facts while transport infrastructure owns serialization and delivery mechanics.</x:v>
      </x:c>
      <x:c r="F6" s="63" t="str">
        <x:v>T04</x:v>
      </x:c>
      <x:c r="G6" s="70" t="str">
        <x:v>Not Started</x:v>
      </x:c>
    </x:row>
    <x:row r="7" ht="72" customHeight="1">
      <x:c r="A7" s="62" t="str">
        <x:v>T06</x:v>
      </x:c>
      <x:c r="B7" s="63" t="str">
        <x:v>1 - Event Bus Core</x:v>
      </x:c>
      <x:c r="C7" s="63" t="str">
        <x:v>RabbitMQ connection &amp; hosted consumer</x:v>
      </x:c>
      <x:c r="D7" s="63" t="str">
        <x:v>Build the RabbitMQ transport connection lifecycle and normal .NET hosted consumer with automatic recovery, bounded reconnect backoff, dependency-injection scopes, cancellation, and graceful shutdown. The consumer must return an explicit durable-success/failure outcome to the transport.</x:v>
      </x:c>
      <x:c r="E7" s="63" t="str">
        <x:v>This replaces the Functions trigger with one reusable consumer host whose acknowledgement boundary is controlled by the application result.</x:v>
      </x:c>
      <x:c r="F7" s="63" t="str">
        <x:v>T04, T05</x:v>
      </x:c>
      <x:c r="G7" s="70" t="str">
        <x:v>Not Started</x:v>
      </x:c>
    </x:row>
    <x:row r="8" ht="72" customHeight="1">
      <x:c r="A8" s="62" t="str">
        <x:v>T07</x:v>
      </x:c>
      <x:c r="B8" s="63" t="str">
        <x:v>1 - Event Bus Core</x:v>
      </x:c>
      <x:c r="C8" s="63" t="str">
        <x:v>Exchange and subscriber-owned topology</x:v>
      </x:c>
      <x:c r="D8" s="63" t="str">
        <x:v>Declare the durable direct exchange medicalassistant.events. Let each subscriber own its durable main queue, five delayed retry stages, dead-letter queue, and routing-key bindings. Use idempotent declaration and fail safely when immutable queue arguments conflict.</x:v>
      </x:c>
      <x:c r="E8" s="63" t="str">
        <x:v>Publishers target business facts rather than queues. Subscribers can evolve and scale independently without producer changes or queue-scanning deletion logic.</x:v>
      </x:c>
      <x:c r="F8" s="63" t="str">
        <x:v>T06</x:v>
      </x:c>
      <x:c r="G8" s="70" t="str">
        <x:v>Not Started</x:v>
      </x:c>
    </x:row>
    <x:row r="9" ht="72" customHeight="1">
      <x:c r="A9" s="62" t="str">
        <x:v>T08</x:v>
      </x:c>
      <x:c r="B9" s="63" t="str">
        <x:v>1 - Event Bus Core</x:v>
      </x:c>
      <x:c r="C9" s="63" t="str">
        <x:v>Confirmed publisher &amp; trace propagation</x:v>
      </x:c>
      <x:c r="D9" s="63" t="str">
        <x:v>Publish persistent mandatory messages with eventId as RabbitMQ messageId, stable type/correlation metadata, W3C trace headers, positive publisher confirms, returned/unroutable detection, and bounded connectivity retry. Never serialize full messages into logs or trace tags.</x:v>
      </x:c>
      <x:c r="E9" s="63" t="str">
        <x:v>An event is not considered published until the broker confirms routing, while distributed traces remain connected without duplicating clinical content.</x:v>
      </x:c>
      <x:c r="F9" s="63" t="str">
        <x:v>T04, T06</x:v>
      </x:c>
      <x:c r="G9" s="70" t="str">
        <x:v>Not Started</x:v>
      </x:c>
    </x:row>
    <x:row r="10" ht="72" customHeight="1">
      <x:c r="A10" s="62" t="str">
        <x:v>T09</x:v>
      </x:c>
      <x:c r="B10" s="63" t="str">
        <x:v>1 - Event Bus Core</x:v>
      </x:c>
      <x:c r="C10" s="63" t="str">
        <x:v>Wire-contract and topology tests</x:v>
      </x:c>
      <x:c r="D10" s="63" t="str">
        <x:v>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v>
      </x:c>
      <x:c r="E10" s="63" t="str">
        <x:v>Distributed contracts fail early in CI instead of after independently deployed producers and consumers disagree.</x:v>
      </x:c>
      <x:c r="F10" s="63" t="str">
        <x:v>T04, T07, T08</x:v>
      </x:c>
      <x:c r="G10" s="70" t="str">
        <x:v>Not Started</x:v>
      </x:c>
    </x:row>
    <x:row r="11" ht="57" customHeight="1">
      <x:c r="A11" s="62" t="str">
        <x:v>T10</x:v>
      </x:c>
      <x:c r="B11" s="63" t="str">
        <x:v>2 - Durable Publication</x:v>
      </x:c>
      <x:c r="C11" s="63" t="str">
        <x:v>Transactional outbox write path</x:v>
      </x:c>
      <x:c r="D11" s="63" t="str">
        <x:v>Implement the outbox entity/store and application transaction seam. A Consultation state change and its immutable outgoing event must commit or roll back together; remove request-thread direct RabbitMQ publication from the new path.</x:v>
      </x:c>
      <x:c r="E11" s="63" t="str">
        <x:v>An accepted upload can never be silently stranded by a broker outage—the root reliability guarantee.</x:v>
      </x:c>
      <x:c r="F11" s="63" t="str">
        <x:v>T03, T04</x:v>
      </x:c>
      <x:c r="G11" s="70" t="str">
        <x:v>Not Started</x:v>
      </x:c>
    </x:row>
    <x:row r="12" ht="72" customHeight="1">
      <x:c r="A12" s="62" t="str">
        <x:v>T11</x:v>
      </x:c>
      <x:c r="B12" s="63" t="str">
        <x:v>2 - Durable Publication</x:v>
      </x:c>
      <x:c r="C12" s="63" t="str">
        <x:v>Continuous outbox relay</x:v>
      </x:c>
      <x:c r="D12" s="63" t="str">
        <x:v>Create a hosted relay that safely claims bounded batches with skip-locked/lease semantics, publishes through the confirmed event bus, marks success only after confirm, schedules safe failure/backoff, and recovers expired claims after crashes. Support multiple relay replicas.</x:v>
      </x:c>
      <x:c r="E12" s="63" t="str">
        <x:v>Durable intent keeps moving after request completion, process restart, and broker recovery; duplicate publication remains safe by design.</x:v>
      </x:c>
      <x:c r="F12" s="63" t="str">
        <x:v>T08, T10</x:v>
      </x:c>
      <x:c r="G12" s="70" t="str">
        <x:v>Not Started</x:v>
      </x:c>
    </x:row>
    <x:row r="13" ht="72" customHeight="1">
      <x:c r="A13" s="62" t="str">
        <x:v>T12</x:v>
      </x:c>
      <x:c r="B13" s="63" t="str">
        <x:v>2 - Durable Publication</x:v>
      </x:c>
      <x:c r="C13" s="63" t="str">
        <x:v>Audio and document upload events</x:v>
      </x:c>
      <x:c r="D13" s="63" t="str">
        <x:v>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v>
      </x:c>
      <x:c r="E13" s="63" t="str">
        <x:v>RabbitMQ routes audio and documents to the right capability without payload inspection, and the broker does not become a clinical-content store.</x:v>
      </x:c>
      <x:c r="F13" s="63" t="str">
        <x:v>T09, T10, T11</x:v>
      </x:c>
      <x:c r="G13" s="70" t="str">
        <x:v>Not Started</x:v>
      </x:c>
    </x:row>
    <x:row r="14" ht="57" customHeight="1">
      <x:c r="A14" s="62" t="str">
        <x:v>T13</x:v>
      </x:c>
      <x:c r="B14" s="63" t="str">
        <x:v>2 - Durable Publication</x:v>
      </x:c>
      <x:c r="C14" s="63" t="str">
        <x:v>Transcript revision and deletion events</x:v>
      </x:c>
      <x:c r="D14" s="63" t="str">
        <x:v>Make initial Transcript completion and every clinician correction increment a revision and write consultation.transcript-ready.v1 to the outbox. Make deletion atomically record authoritative deleted state/tombstone/cleanup intent and consultation.deleted.v1.</x:v>
      </x:c>
      <x:c r="E14" s="63" t="str">
        <x:v>Downstream knowledge stays synchronized with the current Transcript, while deletion becomes a durable fact instead of queue manipulation.</x:v>
      </x:c>
      <x:c r="F14" s="63" t="str">
        <x:v>T09, T10, T11</x:v>
      </x:c>
      <x:c r="G14" s="70" t="str">
        <x:v>Not Started</x:v>
      </x:c>
    </x:row>
    <x:row r="15" ht="72" customHeight="1">
      <x:c r="A15" s="62" t="str">
        <x:v>T14</x:v>
      </x:c>
      <x:c r="B15" s="63" t="str">
        <x:v>3 - Transcription Worker</x:v>
      </x:c>
      <x:c r="C15" s="63" t="str">
        <x:v>Standard Transcription Worker host</x:v>
      </x:c>
      <x:c r="D15" s="63" t="str">
        <x:v>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v>
      </x:c>
      <x:c r="E15" s="63" t="str">
        <x:v>Transcription scales, restarts, and deploys independently from clinician-facing HTTP traffic without maintaining a second hosting model.</x:v>
      </x:c>
      <x:c r="F15" s="63" t="str">
        <x:v>T06, T07</x:v>
      </x:c>
      <x:c r="G15" s="70" t="str">
        <x:v>Not Started</x:v>
      </x:c>
    </x:row>
    <x:row r="16" ht="72" customHeight="1">
      <x:c r="A16" s="62" t="str">
        <x:v>T15</x:v>
      </x:c>
      <x:c r="B16" s="63" t="str">
        <x:v>3 - Transcription Worker</x:v>
      </x:c>
      <x:c r="C16" s="63" t="str">
        <x:v>Restricted shared-database unit of work</x:v>
      </x:c>
      <x:c r="D16" s="63" t="str">
        <x:v>Connect the worker to the shared Consultation Processing schema through a least-privilege database role and shared domain/application persistence. Implement one completion transaction for inbox, Transcript/revision, Consultation status, content-free audit, and result outbox.</x:v>
      </x:c>
      <x:c r="E16" s="63" t="str">
        <x:v>The worker is a separate process inside one bounded context, so completion remains atomic without a distributed HTTP/database workflow.</x:v>
      </x:c>
      <x:c r="F16" s="63" t="str">
        <x:v>T03, T14</x:v>
      </x:c>
      <x:c r="G16" s="70" t="str">
        <x:v>Not Started</x:v>
      </x:c>
    </x:row>
    <x:row r="17" ht="72" customHeight="1">
      <x:c r="A17" s="62" t="str">
        <x:v>T16</x:v>
      </x:c>
      <x:c r="B17" s="63" t="str">
        <x:v>3 - Transcription Worker</x:v>
      </x:c>
      <x:c r="C17" s="63" t="str">
        <x:v>Private Blob retrieval adapter</x:v>
      </x:c>
      <x:c r="D17" s="63" t="str">
        <x:v>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v>
      </x:c>
      <x:c r="E17" s="63" t="str">
        <x:v>The worker can obtain the Recording it is authorized to process without exposing storage credentials or references through events and telemetry.</x:v>
      </x:c>
      <x:c r="F17" s="63" t="str">
        <x:v>T14</x:v>
      </x:c>
      <x:c r="G17" s="70" t="str">
        <x:v>Not Started</x:v>
      </x:c>
    </x:row>
    <x:row r="18" ht="72" customHeight="1">
      <x:c r="A18" s="62" t="str">
        <x:v>T17</x:v>
      </x:c>
      <x:c r="B18" s="63" t="str">
        <x:v>3 - Transcription Worker</x:v>
      </x:c>
      <x:c r="C18" s="63" t="str">
        <x:v>Azure Speech adapter &amp; safe failures</x:v>
      </x:c>
      <x:c r="D18" s="63" t="str">
        <x:v>Port Azure Speech fast Transcription with configured locale/phrase source, bounded timeout/cancellation, request limits, stable transient/permanent failure categories, and test-controlled provider seam. Remove response-body, exception-message, transcript-preview, and speech-content logging.</x:v>
      </x:c>
      <x:c r="E18" s="63" t="str">
        <x:v>Speech provider failures become retryable or honest business outcomes without leaking clinical content into diagnostics.</x:v>
      </x:c>
      <x:c r="F18" s="63" t="str">
        <x:v>T14</x:v>
      </x:c>
      <x:c r="G18" s="70" t="str">
        <x:v>Not Started</x:v>
      </x:c>
    </x:row>
    <x:row r="19" ht="72" customHeight="1">
      <x:c r="A19" s="62" t="str">
        <x:v>T18</x:v>
      </x:c>
      <x:c r="B19" s="63" t="str">
        <x:v>3 - Transcription Worker</x:v>
      </x:c>
      <x:c r="C19" s="63" t="str">
        <x:v>Audio Uploaded happy path</x:v>
      </x:c>
      <x:c r="D19" s="63" t="str">
        <x:v>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v>
      </x:c>
      <x:c r="E19" s="63" t="str">
        <x:v>This delivers the Doctor-visible product outcome through the new event path while preserving the atomic acknowledgement boundary.</x:v>
      </x:c>
      <x:c r="F19" s="63" t="str">
        <x:v>T09, T15, T16, T17</x:v>
      </x:c>
      <x:c r="G19" s="70" t="str">
        <x:v>Not Started</x:v>
      </x:c>
    </x:row>
    <x:row r="20" ht="72" customHeight="1">
      <x:c r="A20" s="62" t="str">
        <x:v>T19</x:v>
      </x:c>
      <x:c r="B20" s="63" t="str">
        <x:v>3 - Transcription Worker</x:v>
      </x:c>
      <x:c r="C20" s="63" t="str">
        <x:v>Inbox idempotency &amp; crash redelivery</x:v>
      </x:c>
      <x:c r="D20" s="63" t="str">
        <x:v>Implement inbox uniqueness by consumerName + eventId, recoverable in-progress claims, completed-duplicate no-op, and tests for crashes before commit and after commit/before ACK. Prove one logical Transcript and one logical result under duplicate publication/concurrent delivery.</x:v>
      </x:c>
      <x:c r="E20" s="63" t="str">
        <x:v>At-least-once delivery becomes safe and expected; a broker or process uncertainty cannot duplicate clinical work.</x:v>
      </x:c>
      <x:c r="F20" s="63" t="str">
        <x:v>T18</x:v>
      </x:c>
      <x:c r="G20" s="70" t="str">
        <x:v>Not Started</x:v>
      </x:c>
    </x:row>
    <x:row r="21" ht="72" customHeight="1">
      <x:c r="A21" s="62" t="str">
        <x:v>T20</x:v>
      </x:c>
      <x:c r="B21" s="63" t="str">
        <x:v>3 - Transcription Worker</x:v>
      </x:c>
      <x:c r="C21" s="63" t="str">
        <x:v>Retry, dead-letter &amp; failure classification</x:v>
      </x:c>
      <x:c r="D21" s="63" t="str">
        <x:v>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v>
      </x:c>
      <x:c r="E21" s="63" t="str">
        <x:v>Operational poison and clinical failure remain distinct; no work disappears silently and outages do not create hot retry storms.</x:v>
      </x:c>
      <x:c r="F21" s="63" t="str">
        <x:v>T18, T19</x:v>
      </x:c>
      <x:c r="G21" s="70" t="str">
        <x:v>Not Started</x:v>
      </x:c>
    </x:row>
    <x:row r="22" ht="72" customHeight="1">
      <x:c r="A22" s="62" t="str">
        <x:v>T21</x:v>
      </x:c>
      <x:c r="B22" s="63" t="str">
        <x:v>3 - Transcription Worker</x:v>
      </x:c>
      <x:c r="C22" s="63" t="str">
        <x:v>State gates, concurrency &amp; shutdown</x:v>
      </x:c>
      <x:c r="D22" s="63" t="str">
        <x:v>Add current deletion/source/revision checks before expensive work and in the completion transaction, concurrency-token handling for racing events, bounded prefetch/parallelism, and graceful shutdown that drains committed work or leaves it unacknowledged for redelivery.</x:v>
      </x:c>
      <x:c r="E22" s="63" t="str">
        <x:v>Delayed events cannot recreate deleted or superseded content, and deployments do not leave partial Transcription results.</x:v>
      </x:c>
      <x:c r="F22" s="63" t="str">
        <x:v>T18, T19, T20</x:v>
      </x:c>
      <x:c r="G22" s="70" t="str">
        <x:v>Not Started</x:v>
      </x:c>
    </x:row>
    <x:row r="23" ht="72" customHeight="1">
      <x:c r="A23" s="62" t="str">
        <x:v>T22</x:v>
      </x:c>
      <x:c r="B23" s="63" t="str">
        <x:v>4 - Downstream &amp; Deletion</x:v>
      </x:c>
      <x:c r="C23" s="63" t="str">
        <x:v>Backend Transcript Ready subscriber</x:v>
      </x:c>
      <x:c r="D23" s="63" t="str">
        <x:v>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v>
      </x:c>
      <x:c r="E23" s="63" t="str">
        <x:v>The backend remains the authorization and data-release boundary, while the Transcription Worker stays focused on speech-to-text.</x:v>
      </x:c>
      <x:c r="F23" s="63" t="str">
        <x:v>T09, T13, T18</x:v>
      </x:c>
      <x:c r="G23" s="70" t="str">
        <x:v>Not Started</x:v>
      </x:c>
    </x:row>
    <x:row r="24" ht="72" customHeight="1">
      <x:c r="A24" s="62" t="str">
        <x:v>T23</x:v>
      </x:c>
      <x:c r="B24" s="63" t="str">
        <x:v>4 - Downstream &amp; Deletion</x:v>
      </x:c>
      <x:c r="C24" s="63" t="str">
        <x:v>Current Clinical Knowledge contract alignment</x:v>
      </x:c>
      <x:c r="D24" s="63" t="str">
        <x:v>Replace obsolete AI-module endpoint assumptions with the actual authenticated Clinical Knowledge Ingestion contract. Map Consultation/Transcript identity, revision, Doctor/Patient context, language, and text to the current Session Transcript request and durable acceptance response.</x:v>
      </x:c>
      <x:c r="E24" s="63" t="str">
        <x:v>The new event path connects to the service that actually exists rather than publishing a result to an unconsumed legacy queue.</x:v>
      </x:c>
      <x:c r="F24" s="63" t="str">
        <x:v>T22</x:v>
      </x:c>
      <x:c r="G24" s="70" t="str">
        <x:v>Not Started</x:v>
      </x:c>
    </x:row>
    <x:row r="25" ht="72" customHeight="1">
      <x:c r="A25" s="62" t="str">
        <x:v>T24</x:v>
      </x:c>
      <x:c r="B25" s="63" t="str">
        <x:v>4 - Downstream &amp; Deletion</x:v>
      </x:c>
      <x:c r="C25" s="63" t="str">
        <x:v>Idempotent Ingestion handoff &amp; correction</x:v>
      </x:c>
      <x:c r="D25" s="63" t="str">
        <x:v>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v>
      </x:c>
      <x:c r="E25" s="63" t="str">
        <x:v>A lost response or corrected Transcript cannot create duplicate or stale searchable clinical material.</x:v>
      </x:c>
      <x:c r="F25" s="63" t="str">
        <x:v>T22, T23</x:v>
      </x:c>
      <x:c r="G25" s="70" t="str">
        <x:v>Not Started</x:v>
      </x:c>
    </x:row>
    <x:row r="26" ht="72" customHeight="1">
      <x:c r="A26" s="62" t="str">
        <x:v>T25</x:v>
      </x:c>
      <x:c r="B26" s="63" t="str">
        <x:v>4 - Downstream &amp; Deletion</x:v>
      </x:c>
      <x:c r="C26" s="63" t="str">
        <x:v>Event-driven deletion cleanup</x:v>
      </x:c>
      <x:c r="D26" s="63" t="str">
        <x:v>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v>
      </x:c>
      <x:c r="E26" s="63" t="str">
        <x:v>Deletion converges across every data copy and cannot be undone by delayed delivery order.</x:v>
      </x:c>
      <x:c r="F26" s="63" t="str">
        <x:v>T13, T21, T24</x:v>
      </x:c>
      <x:c r="G26" s="70" t="str">
        <x:v>Not Started</x:v>
      </x:c>
    </x:row>
    <x:row r="27" ht="72" customHeight="1">
      <x:c r="A27" s="62" t="str">
        <x:v>T26</x:v>
      </x:c>
      <x:c r="B27" s="63" t="str">
        <x:v>4 - Downstream &amp; Deletion</x:v>
      </x:c>
      <x:c r="C27" s="63" t="str">
        <x:v>Document pending behavior</x:v>
      </x:c>
      <x:c r="D27" s="63" t="str">
        <x:v>Ensure Consultation Document Uploaded never reaches the Transcription Worker and never creates placeholder Transcript text. Expose/retain an honest Awaiting Document Processing state and contract-test the future processor binding without implementing extraction.</x:v>
      </x:c>
      <x:c r="E27" s="63" t="str">
        <x:v>Doctors see the truth: a document is pending its own capability rather than falsely appearing transcribed.</x:v>
      </x:c>
      <x:c r="F27" s="63" t="str">
        <x:v>T12, T14, T18</x:v>
      </x:c>
      <x:c r="G27" s="70" t="str">
        <x:v>Not Started</x:v>
      </x:c>
    </x:row>
    <x:row r="28" ht="72" customHeight="1">
      <x:c r="A28" s="62" t="str">
        <x:v>T27</x:v>
      </x:c>
      <x:c r="B28" s="63" t="str">
        <x:v>5 - Security &amp; Observability</x:v>
      </x:c>
      <x:c r="C28" s="63" t="str">
        <x:v>Service identities, TLS &amp; secrets</x:v>
      </x:c>
      <x:c r="D28" s="63" t="str">
        <x:v>Define and enforce separate least-privilege RabbitMQ, PostgreSQL, Blob, Speech, backend, Clinical Knowledge, and operator/replay identities. Add TLS/protected-network configuration, secret-store injection/rotation, and negative authorization integration tests for each workload.</x:v>
      </x:c>
      <x:c r="E28" s="63" t="str">
        <x:v>A compromised component cannot become a general administrator or access unrelated clinical/application data.</x:v>
      </x:c>
      <x:c r="F28" s="63" t="str">
        <x:v>T07, T14</x:v>
      </x:c>
      <x:c r="G28" s="70" t="str">
        <x:v>Not Started</x:v>
      </x:c>
    </x:row>
    <x:row r="29" ht="72" customHeight="1">
      <x:c r="A29" s="62" t="str">
        <x:v>T28</x:v>
      </x:c>
      <x:c r="B29" s="63" t="str">
        <x:v>5 - Security &amp; Observability</x:v>
      </x:c>
      <x:c r="C29" s="63" t="str">
        <x:v>PHI-safe telemetry &amp; canary tests</x:v>
      </x:c>
      <x:c r="D29" s="63" t="str">
        <x:v>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v>
      </x:c>
      <x:c r="E29" s="63" t="str">
        <x:v>The event bus explains its health without becoming a second clinical-content or credential store.</x:v>
      </x:c>
      <x:c r="F29" s="63" t="str">
        <x:v>T17, T18, T22, T27</x:v>
      </x:c>
      <x:c r="G29" s="70" t="str">
        <x:v>Not Started</x:v>
      </x:c>
    </x:row>
    <x:row r="30" ht="72" customHeight="1">
      <x:c r="A30" s="62" t="str">
        <x:v>T29</x:v>
      </x:c>
      <x:c r="B30" s="63" t="str">
        <x:v>5 - Security &amp; Observability</x:v>
      </x:c>
      <x:c r="C30" s="63" t="str">
        <x:v>Health, metrics, dashboards &amp; alerts</x:v>
      </x:c>
      <x:c r="D30" s="63" t="str">
        <x:v>Add liveness/readiness/degraded signals and dashboards/alerts for outbox age, main/retry/DLQ age/depth, confirms/returns/reconnects/ACK latency, Transcription outcomes and Speech throttling, duplicates/stale no-ops, Clinical Knowledge handoff, deletion cleanup, and database/broker pressure.</x:v>
      </x:c>
      <x:c r="E30" s="63" t="str">
        <x:v>Operators can find stuck clinical work and capacity risks before Doctors must report them, without restart storms during dependency outages.</x:v>
      </x:c>
      <x:c r="F30" s="63" t="str">
        <x:v>T11, T20, T22, T25, T28</x:v>
      </x:c>
      <x:c r="G30" s="70" t="str">
        <x:v>Not Started</x:v>
      </x:c>
    </x:row>
    <x:row r="31" ht="72" customHeight="1">
      <x:c r="A31" s="62" t="str">
        <x:v>T30</x:v>
      </x:c>
      <x:c r="B31" s="63" t="str">
        <x:v>5 - Security &amp; Observability</x:v>
      </x:c>
      <x:c r="C31" s="63" t="str">
        <x:v>Retention, audit &amp; replay authorization</x:v>
      </x:c>
      <x:c r="D31" s="63" t="str">
        <x:v>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v>
      </x:c>
      <x:c r="E31" s="63" t="str">
        <x:v>Recovery remains accountable and privacy-aware even when failed messages persist longer than the happy path.</x:v>
      </x:c>
      <x:c r="F31" s="63" t="str">
        <x:v>T20, T25, T27, T28</x:v>
      </x:c>
      <x:c r="G31" s="70" t="str">
        <x:v>Not Started</x:v>
      </x:c>
    </x:row>
    <x:row r="32" ht="72" customHeight="1">
      <x:c r="A32" s="62" t="str">
        <x:v>T31</x:v>
      </x:c>
      <x:c r="B32" s="63" t="str">
        <x:v>6 - Containers &amp; Operations</x:v>
      </x:c>
      <x:c r="C32" s="63" t="str">
        <x:v>Dockerfiles &amp; root Compose stack</x:v>
      </x:c>
      <x:c r="D32" s="63" t="str">
        <x:v>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v>
      </x:c>
      <x:c r="E32" s="63" t="str">
        <x:v>Every developer and CI run exercises the complete architecture without Azure Functions tooling or manual service startup.</x:v>
      </x:c>
      <x:c r="F32" s="63" t="str">
        <x:v>T14, T22, T27</x:v>
      </x:c>
      <x:c r="G32" s="70" t="str">
        <x:v>Not Started</x:v>
      </x:c>
    </x:row>
    <x:row r="33" ht="72" customHeight="1">
      <x:c r="A33" s="62" t="str">
        <x:v>T32</x:v>
      </x:c>
      <x:c r="B33" s="63" t="str">
        <x:v>6 - Containers &amp; Operations</x:v>
      </x:c>
      <x:c r="C33" s="63" t="str">
        <x:v>Scaling and deployment behavior</x:v>
      </x:c>
      <x:c r="D33" s="63" t="str">
        <x:v>Implement configurable worker prefetch/concurrency and outbox batch/lease settings, readiness gates, bounded shutdown drain, and expand-contract deployment order. Document scaling from oldest queue age while respecting Speech quota, memory, database connections, and broker flow control.</x:v>
      </x:c>
      <x:c r="E33" s="63" t="str">
        <x:v>API and worker scale independently without turning backlog recovery into dependency overload or duplicate partial work.</x:v>
      </x:c>
      <x:c r="F33" s="63" t="str">
        <x:v>T21, T29, T31</x:v>
      </x:c>
      <x:c r="G33" s="70" t="str">
        <x:v>Not Started</x:v>
      </x:c>
    </x:row>
    <x:row r="34" ht="87" customHeight="1">
      <x:c r="A34" s="62" t="str">
        <x:v>T33</x:v>
      </x:c>
      <x:c r="B34" s="63" t="str">
        <x:v>6 - Containers &amp; Operations</x:v>
      </x:c>
      <x:c r="C34" s="63" t="str">
        <x:v>DLQ replay &amp; recovery tooling</x:v>
      </x:c>
      <x:c r="D34" s="63" t="str">
        <x:v>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v>
      </x:c>
      <x:c r="E34" s="63" t="str">
        <x:v>Dead letters become recoverable work with guardrails rather than a silent graveyard or a manual JSON-editing exercise.</x:v>
      </x:c>
      <x:c r="F34" s="63" t="str">
        <x:v>T20, T29, T30, T31</x:v>
      </x:c>
      <x:c r="G34" s="70" t="str">
        <x:v>Not Started</x:v>
      </x:c>
    </x:row>
    <x:row r="35" ht="72" customHeight="1">
      <x:c r="A35" s="62" t="str">
        <x:v>T34</x:v>
      </x:c>
      <x:c r="B35" s="63" t="str">
        <x:v>7 - Verification &amp; Removal</x:v>
      </x:c>
      <x:c r="C35" s="63" t="str">
        <x:v>End-to-end failure matrix</x:v>
      </x:c>
      <x:c r="D35" s="63" t="str">
        <x:v>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v>
      </x:c>
      <x:c r="E35" s="63" t="str">
        <x:v>The implementation is proven at the seam a Doctor and downstream service actually use, including the failures the architecture exists to survive.</x:v>
      </x:c>
      <x:c r="F35" s="63" t="str">
        <x:v>T31, T32, T33</x:v>
      </x:c>
      <x:c r="G35" s="70" t="str">
        <x:v>Not Started</x:v>
      </x:c>
    </x:row>
    <x:row r="36" ht="72" customHeight="1">
      <x:c r="A36" s="62" t="str">
        <x:v>T35</x:v>
      </x:c>
      <x:c r="B36" s="63" t="str">
        <x:v>7 - Verification &amp; Removal</x:v>
      </x:c>
      <x:c r="C36" s="63" t="str">
        <x:v>Architecture and privacy enforcement</x:v>
      </x:c>
      <x:c r="D36" s="63" t="str">
        <x:v>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v>
      </x:c>
      <x:c r="E36" s="63" t="str">
        <x:v>Removed unsafe patterns cannot quietly return during later maintenance, and the no-content telemetry claim remains continuously verified.</x:v>
      </x:c>
      <x:c r="F36" s="63" t="str">
        <x:v>T28, T34</x:v>
      </x:c>
      <x:c r="G36" s="70" t="str">
        <x:v>Not Started</x:v>
      </x:c>
    </x:row>
    <x:row r="37" ht="72" customHeight="1">
      <x:c r="A37" s="62" t="str">
        <x:v>T36</x:v>
      </x:c>
      <x:c r="B37" s="63" t="str">
        <x:v>7 - Verification &amp; Removal</x:v>
      </x:c>
      <x:c r="C37" s="63" t="str">
        <x:v>Remove Function and legacy messaging</x:v>
      </x:c>
      <x:c r="D37" s="63" t="str">
        <x:v>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v>
      </x:c>
      <x:c r="E37" s="63" t="str">
        <x:v>The first deployable system has one container hosting/event-bus model and no compatibility burden for code that never ran.</x:v>
      </x:c>
      <x:c r="F37" s="63" t="str">
        <x:v>T34, T35</x:v>
      </x:c>
      <x:c r="G37" s="73" t="str">
        <x:v>Not Started</x:v>
      </x:c>
    </x:row>
    <x:row r="38" ht="72" customHeight="1">
      <x:c r="A38" s="62" t="str">
        <x:v>T37</x:v>
      </x:c>
      <x:c r="B38" s="63" t="str">
        <x:v>7 - Verification &amp; Removal</x:v>
      </x:c>
      <x:c r="C38" s="63" t="str">
        <x:v>Clean-environment release gate</x:v>
      </x:c>
      <x:c r="D38" s="63" t="str">
        <x:v>Start from empty volumes and run migrations, Compose, full tests, security/operations review, dashboards/alerts, backup/recovery rehearsal, and repository no-Functions scan. Verify all documentation/runbooks match final behavior and stop release if any deployed legacy state is discovered.</x:v>
      </x:c>
      <x:c r="E38" s="63" t="str">
        <x:v>The project is handed over as an operable, recoverable product capability—not merely code that passes a happy-path test.</x:v>
      </x:c>
      <x:c r="F38" s="63" t="str">
        <x:v>T36</x:v>
      </x:c>
      <x:c r="G38" s="70" t="str">
        <x:v>Not Started</x:v>
      </x:c>
    </x:row>
  </x:sheetData>
  <x:dataValidations count="1">
    <x:dataValidation type="list"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9" hidden="0" customWidth="1"/>
    <x:col min="2" max="2" width="20" hidden="0" customWidth="1"/>
    <x:col min="3" max="3" width="30" hidden="0" customWidth="1"/>
    <x:col min="4" max="4" width="12" hidden="0" customWidth="1"/>
    <x:col min="5" max="5" width="42" hidden="0" customWidth="1"/>
    <x:col min="6" max="6" width="42" hidden="0" customWidth="1"/>
    <x:col min="7" max="7" width="42" hidden="0" customWidth="1"/>
    <x:col min="8" max="8" width="14" hidden="0" customWidth="1"/>
  </x:cols>
  <x:sheetData>
    <x:row r="1" ht="28" customHeight="1">
      <x:c r="A1" s="79" t="str">
        <x:v>ID</x:v>
      </x:c>
      <x:c r="B1" s="79" t="str">
        <x:v>Area</x:v>
      </x:c>
      <x:c r="C1" s="79" t="str">
        <x:v>Title</x:v>
      </x:c>
      <x:c r="D1" s="79" t="str">
        <x:v>Severity</x:v>
      </x:c>
      <x:c r="E1" s="79" t="str">
        <x:v>The Problem</x:v>
      </x:c>
      <x:c r="F1" s="79" t="str">
        <x:v>Why it matters</x:v>
      </x:c>
      <x:c r="G1" s="79" t="str">
        <x:v>Suggested Solution</x:v>
      </x:c>
      <x:c r="H1" s="79" t="str">
        <x:v>Status</x:v>
      </x:c>
    </x:row>
    <x:row r="2" ht="18" customHeight="1">
      <x:c r="A2"/>
      <x:c r="B2"/>
      <x:c r="C2"/>
      <x:c r="D2"/>
      <x:c r="E2"/>
      <x:c r="F2"/>
      <x:c r="G2"/>
      <x:c r="H2"/>
    </x:row>
    <x:row r="3" ht="18" customHeight="1">
      <x:c r="A3"/>
      <x:c r="B3"/>
      <x:c r="C3"/>
      <x:c r="D3"/>
      <x:c r="E3"/>
      <x:c r="F3"/>
      <x:c r="G3"/>
      <x:c r="H3"/>
    </x:row>
    <x:row r="4" ht="18" customHeight="1">
      <x:c r="A4"/>
      <x:c r="B4"/>
      <x:c r="C4"/>
      <x:c r="D4"/>
      <x:c r="E4"/>
      <x:c r="F4"/>
      <x:c r="G4"/>
      <x:c r="H4"/>
    </x:row>
    <x:row r="5" ht="18" customHeight="1">
      <x:c r="A5"/>
      <x:c r="B5"/>
      <x:c r="C5"/>
      <x:c r="D5"/>
      <x:c r="E5"/>
      <x:c r="F5"/>
      <x:c r="G5"/>
      <x:c r="H5"/>
    </x:row>
    <x:row r="6" ht="18" customHeight="1">
      <x:c r="A6"/>
      <x:c r="B6"/>
      <x:c r="C6"/>
      <x:c r="D6"/>
      <x:c r="E6"/>
      <x:c r="F6"/>
      <x:c r="G6"/>
      <x:c r="H6"/>
    </x:row>
    <x:row r="7" ht="18" customHeight="1">
      <x:c r="A7"/>
      <x:c r="B7"/>
      <x:c r="C7"/>
      <x:c r="D7"/>
      <x:c r="E7"/>
      <x:c r="F7"/>
      <x:c r="G7"/>
      <x:c r="H7"/>
    </x:row>
    <x:row r="8" ht="18" customHeight="1">
      <x:c r="A8"/>
      <x:c r="B8"/>
      <x:c r="C8"/>
      <x:c r="D8"/>
      <x:c r="E8"/>
      <x:c r="F8"/>
      <x:c r="G8"/>
      <x:c r="H8"/>
    </x:row>
    <x:row r="9" ht="18" customHeight="1">
      <x:c r="A9"/>
      <x:c r="B9"/>
      <x:c r="C9"/>
      <x:c r="D9"/>
      <x:c r="E9"/>
      <x:c r="F9"/>
      <x:c r="G9"/>
      <x:c r="H9"/>
    </x:row>
    <x:row r="10" ht="18" customHeight="1">
      <x:c r="A10"/>
      <x:c r="B10"/>
      <x:c r="C10"/>
      <x:c r="D10"/>
      <x:c r="E10"/>
      <x:c r="F10"/>
      <x:c r="G10"/>
      <x:c r="H10"/>
    </x:row>
    <x:row r="11" ht="18" customHeight="1">
      <x:c r="A11"/>
      <x:c r="B11"/>
      <x:c r="C11"/>
      <x:c r="D11"/>
      <x:c r="E11"/>
      <x:c r="F11"/>
      <x:c r="G11"/>
      <x:c r="H11"/>
    </x:row>
    <x:row r="12" ht="18" customHeight="1">
      <x:c r="A12"/>
      <x:c r="B12"/>
      <x:c r="C12"/>
      <x:c r="D12"/>
      <x:c r="E12"/>
      <x:c r="F12"/>
      <x:c r="G12"/>
      <x:c r="H12"/>
    </x:row>
    <x:row r="13" ht="18" customHeight="1">
      <x:c r="A13"/>
      <x:c r="B13"/>
      <x:c r="C13"/>
      <x:c r="D13"/>
      <x:c r="E13"/>
      <x:c r="F13"/>
      <x:c r="G13"/>
      <x:c r="H13"/>
    </x:row>
    <x:row r="14" ht="18" customHeight="1">
      <x:c r="A14"/>
      <x:c r="B14"/>
      <x:c r="C14"/>
      <x:c r="D14"/>
      <x:c r="E14"/>
      <x:c r="F14"/>
      <x:c r="G14"/>
      <x:c r="H14"/>
    </x:row>
    <x:row r="15" ht="18" customHeight="1">
      <x:c r="A15"/>
      <x:c r="B15"/>
      <x:c r="C15"/>
      <x:c r="D15"/>
      <x:c r="E15"/>
      <x:c r="F15"/>
      <x:c r="G15"/>
      <x:c r="H15"/>
    </x:row>
    <x:row r="16" ht="18" customHeight="1">
      <x:c r="A16"/>
      <x:c r="B16"/>
      <x:c r="C16"/>
      <x:c r="D16"/>
      <x:c r="E16"/>
      <x:c r="F16"/>
      <x:c r="G16"/>
      <x:c r="H16"/>
    </x:row>
    <x:row r="17" ht="18" customHeight="1">
      <x:c r="A17"/>
      <x:c r="B17"/>
      <x:c r="C17"/>
      <x:c r="D17"/>
      <x:c r="E17"/>
      <x:c r="F17"/>
      <x:c r="G17"/>
      <x:c r="H17"/>
    </x:row>
    <x:row r="18" ht="18" customHeight="1">
      <x:c r="A18"/>
      <x:c r="B18"/>
      <x:c r="C18"/>
      <x:c r="D18"/>
      <x:c r="E18"/>
      <x:c r="F18"/>
      <x:c r="G18"/>
      <x:c r="H18"/>
    </x:row>
    <x:row r="19" ht="18" customHeight="1">
      <x:c r="A19"/>
      <x:c r="B19"/>
      <x:c r="C19"/>
      <x:c r="D19"/>
      <x:c r="E19"/>
      <x:c r="F19"/>
      <x:c r="G19"/>
      <x:c r="H19"/>
    </x:row>
  </x:sheetData>
  <x:pageMargins left="0.7" right="0.7" top="0.75" bottom="0.75" header="0.3" footer="0.3"/>
  <x:tableParts count="1">
    <x:tablePart xmlns:r="http://schemas.openxmlformats.org/officeDocument/2006/relationships" r:id="R4217b7315abd46c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1" hidden="0" customWidth="1"/>
    <x:col min="3" max="3" width="24" hidden="0" customWidth="1"/>
    <x:col min="4" max="4" width="32" hidden="0" customWidth="1"/>
    <x:col min="5" max="5" width="20" hidden="0" customWidth="1"/>
    <x:col min="6" max="6" width="15" hidden="0" customWidth="1"/>
    <x:col min="7" max="7" width="18" hidden="0" customWidth="1"/>
    <x:col min="8" max="8" width="36" hidden="0" customWidth="1"/>
  </x:cols>
  <x:sheetData>
    <x:row r="1" ht="34" customHeight="1">
      <x:c r="A1" s="81" t="str">
        <x:v>Event Bus Implementation Groups &amp; Review Gates</x:v>
      </x:c>
      <x:c r="B1" s="81"/>
      <x:c r="C1" s="81"/>
      <x:c r="D1" s="81"/>
      <x:c r="E1" s="81"/>
      <x:c r="F1" s="81"/>
      <x:c r="G1" s="81"/>
      <x:c r="H1" s="81"/>
    </x:row>
    <x:row r="2" ht="34" customHeight="1">
      <x:c r="A2" s="85" t="str">
        <x:v>Groups reduce context switching and expose safe parallel work. They do not combine reviews: implement one task, run focused tests, present the code/diff, wait for approval, then mark that task Approved and proceed. A group exits only when every task in it is Approved.</x:v>
      </x:c>
      <x:c r="B2" s="85"/>
      <x:c r="C2" s="85"/>
      <x:c r="D2" s="85"/>
      <x:c r="E2" s="85"/>
      <x:c r="F2" s="85"/>
      <x:c r="G2" s="85"/>
      <x:c r="H2" s="85"/>
    </x:row>
    <x:row r="3" ht="34" customHeight="1">
      <x:c r="A3" s="85"/>
      <x:c r="B3" s="85"/>
      <x:c r="C3" s="85"/>
      <x:c r="D3" s="85"/>
      <x:c r="E3" s="85"/>
      <x:c r="F3" s="85"/>
      <x:c r="G3" s="85"/>
      <x:c r="H3" s="85"/>
    </x:row>
    <x:row r="5" ht="32" customHeight="1">
      <x:c r="A5" s="91" t="str">
        <x:v>Review workflow</x:v>
      </x:c>
      <x:c r="B5" s="91" t="str">
        <x:v>1. Implement one task</x:v>
      </x:c>
      <x:c r="C5" s="91" t="str">
        <x:v>2. Run focused tests</x:v>
      </x:c>
      <x:c r="D5" s="91" t="str">
        <x:v>3. Present code review</x:v>
      </x:c>
      <x:c r="E5" s="91" t="str">
        <x:v>4. Wait for approval</x:v>
      </x:c>
      <x:c r="F5" s="91" t="str">
        <x:v>5. Commit/complete</x:v>
      </x:c>
      <x:c r="G5" s="91" t="str">
        <x:v>6. Start next task</x:v>
      </x:c>
      <x:c r="H5" s="91" t="str">
        <x:v>No batch approval</x:v>
      </x:c>
    </x:row>
    <x:row r="7" ht="30" customHeight="1">
      <x:c r="A7" s="79" t="str">
        <x:v>Group</x:v>
      </x:c>
      <x:c r="B7" s="79" t="str">
        <x:v>Workstream</x:v>
      </x:c>
      <x:c r="C7" s="79" t="str">
        <x:v>Tasks</x:v>
      </x:c>
      <x:c r="D7" s="79" t="str">
        <x:v>Safe parallel work</x:v>
      </x:c>
      <x:c r="E7" s="79" t="str">
        <x:v>Review sequence</x:v>
      </x:c>
      <x:c r="F7" s="79" t="str">
        <x:v>Start gate</x:v>
      </x:c>
      <x:c r="G7" s="79" t="str">
        <x:v>Group exit gate</x:v>
      </x:c>
    </x:row>
    <x:row r="8" ht="50" customHeight="1">
      <x:c r="A8" s="99" t="str">
        <x:v>G00</x:v>
      </x:c>
      <x:c r="B8" s="95" t="str">
        <x:v>Design baseline</x:v>
      </x:c>
      <x:c r="C8" s="95" t="str">
        <x:v>T01</x:v>
      </x:c>
      <x:c r="D8" s="95" t="str">
        <x:v>None</x:v>
      </x:c>
      <x:c r="E8" s="95" t="str">
        <x:v>T01</x:v>
      </x:c>
      <x:c r="F8" s="95" t="str">
        <x:v>None</x:v>
      </x:c>
      <x:c r="G8" s="95" t="str">
        <x:v>Design constraints accepted</x:v>
      </x:c>
    </x:row>
    <x:row r="9" ht="50" customHeight="1">
      <x:c r="A9" s="99" t="str">
        <x:v>G01</x:v>
      </x:c>
      <x:c r="B9" s="95" t="str">
        <x:v>Acceptance &amp; contracts</x:v>
      </x:c>
      <x:c r="C9" s="95" t="str">
        <x:v>T02, T03, T04</x:v>
      </x:c>
      <x:c r="D9" s="95" t="str">
        <x:v>After T02 approval, T03 and T04 are independent</x:v>
      </x:c>
      <x:c r="E9" s="95" t="str">
        <x:v>T02 -&gt; review -&gt; T03 / T04</x:v>
      </x:c>
      <x:c r="F9" s="95" t="str">
        <x:v>T01 approved</x:v>
      </x:c>
      <x:c r="G9" s="95" t="str">
        <x:v>T02-T04 approved</x:v>
      </x:c>
    </x:row>
    <x:row r="10" ht="50" customHeight="1">
      <x:c r="A10" s="99" t="str">
        <x:v>G02</x:v>
      </x:c>
      <x:c r="B10" s="95" t="str">
        <x:v>RabbitMQ transport core</x:v>
      </x:c>
      <x:c r="C10" s="95" t="str">
        <x:v>T05, T06, T07, T08, T09</x:v>
      </x:c>
      <x:c r="D10" s="95" t="str">
        <x:v>After T06 approval, T07 and T08 are independent</x:v>
      </x:c>
      <x:c r="E10" s="95" t="str">
        <x:v>T05 -&gt; T06 -&gt; T07 / T08 -&gt; T09</x:v>
      </x:c>
      <x:c r="F10" s="95" t="str">
        <x:v>T04 approved</x:v>
      </x:c>
      <x:c r="G10" s="95" t="str">
        <x:v>T05-T09 approved</x:v>
      </x:c>
    </x:row>
    <x:row r="11" ht="50" customHeight="1">
      <x:c r="A11" s="99" t="str">
        <x:v>G03</x:v>
      </x:c>
      <x:c r="B11" s="95" t="str">
        <x:v>Durable and worker foundations</x:v>
      </x:c>
      <x:c r="C11" s="95" t="str">
        <x:v>T10, T14, T15, T16, T17</x:v>
      </x:c>
      <x:c r="D11" s="95" t="str">
        <x:v>T10 and T14 can run independently; after T14, T15-T17 are independent</x:v>
      </x:c>
      <x:c r="E11" s="95" t="str">
        <x:v>T10 / T14 -&gt; T15 / T16 / T17</x:v>
      </x:c>
      <x:c r="F11" s="95" t="str">
        <x:v>Relevant G01-G02 dependencies approved</x:v>
      </x:c>
      <x:c r="G11" s="95" t="str">
        <x:v>T10 and T14-T17 approved</x:v>
      </x:c>
    </x:row>
    <x:row r="12" ht="50" customHeight="1">
      <x:c r="A12" s="99" t="str">
        <x:v>G04</x:v>
      </x:c>
      <x:c r="B12" s="95" t="str">
        <x:v>Relay &amp; audio happy path</x:v>
      </x:c>
      <x:c r="C12" s="95" t="str">
        <x:v>T11, T18</x:v>
      </x:c>
      <x:c r="D12" s="95" t="str">
        <x:v>T11 and T18 are independent once their own prerequisites pass</x:v>
      </x:c>
      <x:c r="E12" s="95" t="str">
        <x:v>T11 / T18</x:v>
      </x:c>
      <x:c r="F12" s="95" t="str">
        <x:v>G02-G03 prerequisites approved</x:v>
      </x:c>
      <x:c r="G12" s="95" t="str">
        <x:v>T11 and T18 approved</x:v>
      </x:c>
    </x:row>
    <x:row r="13" ht="50" customHeight="1">
      <x:c r="A13" s="99" t="str">
        <x:v>G05</x:v>
      </x:c>
      <x:c r="B13" s="95" t="str">
        <x:v>Producer facts &amp; idempotency</x:v>
      </x:c>
      <x:c r="C13" s="95" t="str">
        <x:v>T12, T13, T19</x:v>
      </x:c>
      <x:c r="D13" s="95" t="str">
        <x:v>All three tasks are independent</x:v>
      </x:c>
      <x:c r="E13" s="95" t="str">
        <x:v>T12 / T13 / T19</x:v>
      </x:c>
      <x:c r="F13" s="95" t="str">
        <x:v>T11 and T18 approved as applicable</x:v>
      </x:c>
      <x:c r="G13" s="95" t="str">
        <x:v>T12, T13 and T19 approved</x:v>
      </x:c>
    </x:row>
    <x:row r="14" ht="50" customHeight="1">
      <x:c r="A14" s="99" t="str">
        <x:v>G06</x:v>
      </x:c>
      <x:c r="B14" s="95" t="str">
        <x:v>Reliability &amp; downstream entry</x:v>
      </x:c>
      <x:c r="C14" s="95" t="str">
        <x:v>T20, T22, T26</x:v>
      </x:c>
      <x:c r="D14" s="95" t="str">
        <x:v>All three tasks are independent</x:v>
      </x:c>
      <x:c r="E14" s="95" t="str">
        <x:v>T20 / T22 / T26</x:v>
      </x:c>
      <x:c r="F14" s="95" t="str">
        <x:v>G05 task dependencies approved</x:v>
      </x:c>
      <x:c r="G14" s="95" t="str">
        <x:v>T20, T22 and T26 approved</x:v>
      </x:c>
    </x:row>
    <x:row r="15" ht="50" customHeight="1">
      <x:c r="A15" s="99" t="str">
        <x:v>G07</x:v>
      </x:c>
      <x:c r="B15" s="95" t="str">
        <x:v>State, AI contract &amp; identities</x:v>
      </x:c>
      <x:c r="C15" s="95" t="str">
        <x:v>T21, T23, T27</x:v>
      </x:c>
      <x:c r="D15" s="95" t="str">
        <x:v>All three tasks are independent</x:v>
      </x:c>
      <x:c r="E15" s="95" t="str">
        <x:v>T21 / T23 / T27</x:v>
      </x:c>
      <x:c r="F15" s="95" t="str">
        <x:v>G06 task dependencies approved</x:v>
      </x:c>
      <x:c r="G15" s="95" t="str">
        <x:v>T21, T23 and T27 approved</x:v>
      </x:c>
    </x:row>
    <x:row r="16" ht="50" customHeight="1">
      <x:c r="A16" s="99" t="str">
        <x:v>G08</x:v>
      </x:c>
      <x:c r="B16" s="95" t="str">
        <x:v>Corrections &amp; PHI safety</x:v>
      </x:c>
      <x:c r="C16" s="95" t="str">
        <x:v>T24, T28</x:v>
      </x:c>
      <x:c r="D16" s="95" t="str">
        <x:v>Both tasks are independent</x:v>
      </x:c>
      <x:c r="E16" s="95" t="str">
        <x:v>T24 / T28</x:v>
      </x:c>
      <x:c r="F16" s="95" t="str">
        <x:v>T23 and T27 approved</x:v>
      </x:c>
      <x:c r="G16" s="95" t="str">
        <x:v>T24 and T28 approved</x:v>
      </x:c>
    </x:row>
    <x:row r="17" ht="50" customHeight="1">
      <x:c r="A17" s="99" t="str">
        <x:v>G09</x:v>
      </x:c>
      <x:c r="B17" s="95" t="str">
        <x:v>Deletion &amp; operations</x:v>
      </x:c>
      <x:c r="C17" s="95" t="str">
        <x:v>T25, T29, T30</x:v>
      </x:c>
      <x:c r="D17" s="95" t="str">
        <x:v>After T25 approval, T29 and T30 are independent</x:v>
      </x:c>
      <x:c r="E17" s="95" t="str">
        <x:v>T25 -&gt; T29 / T30</x:v>
      </x:c>
      <x:c r="F17" s="95" t="str">
        <x:v>T21, T24 and T28 approved</x:v>
      </x:c>
      <x:c r="G17" s="95" t="str">
        <x:v>T25, T29 and T30 approved</x:v>
      </x:c>
    </x:row>
    <x:row r="18" ht="50" customHeight="1">
      <x:c r="A18" s="99" t="str">
        <x:v>G10</x:v>
      </x:c>
      <x:c r="B18" s="95" t="str">
        <x:v>Containers, scaling &amp; recovery</x:v>
      </x:c>
      <x:c r="C18" s="95" t="str">
        <x:v>T31, T32, T33</x:v>
      </x:c>
      <x:c r="D18" s="95" t="str">
        <x:v>After T31 approval, T32 and T33 are independent</x:v>
      </x:c>
      <x:c r="E18" s="95" t="str">
        <x:v>T31 -&gt; T32 / T33</x:v>
      </x:c>
      <x:c r="F18" s="95" t="str">
        <x:v>T29 and T30 approved</x:v>
      </x:c>
      <x:c r="G18" s="95" t="str">
        <x:v>T31-T33 approved</x:v>
      </x:c>
    </x:row>
    <x:row r="19" ht="50" customHeight="1">
      <x:c r="A19" s="99" t="str">
        <x:v>G11</x:v>
      </x:c>
      <x:c r="B19" s="95" t="str">
        <x:v>End-to-end verification</x:v>
      </x:c>
      <x:c r="C19" s="95" t="str">
        <x:v>T34, T35</x:v>
      </x:c>
      <x:c r="D19" s="95" t="str">
        <x:v>Sequential because T35 uses the completed failure matrix</x:v>
      </x:c>
      <x:c r="E19" s="95" t="str">
        <x:v>T34 -&gt; T35</x:v>
      </x:c>
      <x:c r="F19" s="95" t="str">
        <x:v>T31-T33 approved</x:v>
      </x:c>
      <x:c r="G19" s="95" t="str">
        <x:v>T34 and T35 approved</x:v>
      </x:c>
    </x:row>
    <x:row r="20" ht="50" customHeight="1">
      <x:c r="A20" s="99" t="str">
        <x:v>G12</x:v>
      </x:c>
      <x:c r="B20" s="95" t="str">
        <x:v>Legacy removal &amp; release</x:v>
      </x:c>
      <x:c r="C20" s="95" t="str">
        <x:v>T36, T37</x:v>
      </x:c>
      <x:c r="D20" s="95" t="str">
        <x:v>Sequential release gate</x:v>
      </x:c>
      <x:c r="E20" s="95" t="str">
        <x:v>T36 -&gt; T37</x:v>
      </x:c>
      <x:c r="F20" s="95" t="str">
        <x:v>T34 and T35 approved</x:v>
      </x:c>
      <x:c r="G20" s="95" t="str">
        <x:v>T36 and T37 approved</x:v>
      </x:c>
    </x:row>
    <x:row r="22" ht="28" customHeight="1">
      <x:c r="A22" s="100" t="str">
        <x:v>Per-task review queue</x:v>
      </x:c>
      <x:c r="B22" s="100"/>
      <x:c r="C22" s="100"/>
      <x:c r="D22" s="100"/>
      <x:c r="E22" s="100"/>
      <x:c r="F22" s="100"/>
      <x:c r="G22" s="100"/>
      <x:c r="H22" s="100"/>
    </x:row>
    <x:row r="23" ht="28" customHeight="1">
      <x:c r="A23" s="79" t="str">
        <x:v>Task ID</x:v>
      </x:c>
      <x:c r="B23" s="79" t="str">
        <x:v>Group</x:v>
      </x:c>
      <x:c r="C23" s="79" t="str">
        <x:v>Phase</x:v>
      </x:c>
      <x:c r="D23" s="79" t="str">
        <x:v>Title</x:v>
      </x:c>
      <x:c r="E23" s="79" t="str">
        <x:v>Depends On</x:v>
      </x:c>
      <x:c r="F23" s="79" t="str">
        <x:v>Work Status</x:v>
      </x:c>
      <x:c r="G23" s="79" t="str">
        <x:v>Code Review</x:v>
      </x:c>
      <x:c r="H23" s="79" t="str">
        <x:v>Review commit / notes</x:v>
      </x:c>
    </x:row>
    <x:row r="24" ht="34" customHeight="1">
      <x:c r="A24" s="99" t="str">
        <x:v>T01</x:v>
      </x:c>
      <x:c r="B24" s="95" t="str">
        <x:v>G00</x:v>
      </x:c>
      <x:c r="C24" s="95" t="str">
        <x:v>0 - Foundations</x:v>
      </x:c>
      <x:c r="D24" s="95" t="str">
        <x:v>Design documentation</x:v>
      </x:c>
      <x:c r="E24" s="95"/>
      <x:c r="F24" s="95" t="str">
        <x:f>INDEX('Tasks'!$G$2:$G$38,MATCH(A24,'Tasks'!$A$2:$A$38,0))</x:f>
        <x:v>Completed</x:v>
      </x:c>
      <x:c r="G24" s="101" t="str">
        <x:v>Approved</x:v>
      </x:c>
      <x:c r="H24" s="101" t="str"/>
    </x:row>
    <x:row r="25" ht="34" customHeight="1">
      <x:c r="A25" s="99" t="str">
        <x:v>T02</x:v>
      </x:c>
      <x:c r="B25" s="95" t="str">
        <x:v>G01</x:v>
      </x:c>
      <x:c r="C25" s="95" t="str">
        <x:v>0 - Foundations</x:v>
      </x:c>
      <x:c r="D25" s="95" t="str">
        <x:v>Root Compose acceptance seam</x:v>
      </x:c>
      <x:c r="E25" s="95" t="str">
        <x:v>T01</x:v>
      </x:c>
      <x:c r="F25" s="95" t="str">
        <x:f>INDEX('Tasks'!$G$2:$G$38,MATCH(A25,'Tasks'!$A$2:$A$38,0))</x:f>
        <x:v>Not Started</x:v>
      </x:c>
      <x:c r="G25" s="101" t="str">
        <x:v>Not Submitted</x:v>
      </x:c>
      <x:c r="H25" s="101" t="str"/>
    </x:row>
    <x:row r="26" ht="34" customHeight="1">
      <x:c r="A26" s="99" t="str">
        <x:v>T03</x:v>
      </x:c>
      <x:c r="B26" s="95" t="str">
        <x:v>G01</x:v>
      </x:c>
      <x:c r="C26" s="95" t="str">
        <x:v>0 - Foundations</x:v>
      </x:c>
      <x:c r="D26" s="95" t="str">
        <x:v>Persistence schema &amp; migration ownership</x:v>
      </x:c>
      <x:c r="E26" s="95" t="str">
        <x:v>T02</x:v>
      </x:c>
      <x:c r="F26" s="95" t="str">
        <x:f>INDEX('Tasks'!$G$2:$G$38,MATCH(A26,'Tasks'!$A$2:$A$38,0))</x:f>
        <x:v>Not Started</x:v>
      </x:c>
      <x:c r="G26" s="101" t="str">
        <x:v>Not Submitted</x:v>
      </x:c>
      <x:c r="H26" s="101" t="str"/>
    </x:row>
    <x:row r="27" ht="34" customHeight="1">
      <x:c r="A27" s="99" t="str">
        <x:v>T04</x:v>
      </x:c>
      <x:c r="B27" s="95" t="str">
        <x:v>G01</x:v>
      </x:c>
      <x:c r="C27" s="95" t="str">
        <x:v>1 - Event Bus Core</x:v>
      </x:c>
      <x:c r="D27" s="95" t="str">
        <x:v>Integration-event envelope &amp; stable names</x:v>
      </x:c>
      <x:c r="E27" s="95" t="str">
        <x:v>T02</x:v>
      </x:c>
      <x:c r="F27" s="95" t="str">
        <x:f>INDEX('Tasks'!$G$2:$G$38,MATCH(A27,'Tasks'!$A$2:$A$38,0))</x:f>
        <x:v>Not Started</x:v>
      </x:c>
      <x:c r="G27" s="101" t="str">
        <x:v>Not Submitted</x:v>
      </x:c>
      <x:c r="H27" s="101" t="str"/>
    </x:row>
    <x:row r="28" ht="34" customHeight="1">
      <x:c r="A28" s="99" t="str">
        <x:v>T05</x:v>
      </x:c>
      <x:c r="B28" s="95" t="str">
        <x:v>G02</x:v>
      </x:c>
      <x:c r="C28" s="95" t="str">
        <x:v>1 - Event Bus Core</x:v>
      </x:c>
      <x:c r="D28" s="95" t="str">
        <x:v>Typed handlers &amp; subscription registry</x:v>
      </x:c>
      <x:c r="E28" s="95" t="str">
        <x:v>T04</x:v>
      </x:c>
      <x:c r="F28" s="95" t="str">
        <x:f>INDEX('Tasks'!$G$2:$G$38,MATCH(A28,'Tasks'!$A$2:$A$38,0))</x:f>
        <x:v>Not Started</x:v>
      </x:c>
      <x:c r="G28" s="101" t="str">
        <x:v>Not Submitted</x:v>
      </x:c>
      <x:c r="H28" s="101" t="str"/>
    </x:row>
    <x:row r="29" ht="34" customHeight="1">
      <x:c r="A29" s="99" t="str">
        <x:v>T06</x:v>
      </x:c>
      <x:c r="B29" s="95" t="str">
        <x:v>G02</x:v>
      </x:c>
      <x:c r="C29" s="95" t="str">
        <x:v>1 - Event Bus Core</x:v>
      </x:c>
      <x:c r="D29" s="95" t="str">
        <x:v>RabbitMQ connection &amp; hosted consumer</x:v>
      </x:c>
      <x:c r="E29" s="95" t="str">
        <x:v>T04, T05</x:v>
      </x:c>
      <x:c r="F29" s="95" t="str">
        <x:f>INDEX('Tasks'!$G$2:$G$38,MATCH(A29,'Tasks'!$A$2:$A$38,0))</x:f>
        <x:v>Not Started</x:v>
      </x:c>
      <x:c r="G29" s="101" t="str">
        <x:v>Not Submitted</x:v>
      </x:c>
      <x:c r="H29" s="101" t="str"/>
    </x:row>
    <x:row r="30" ht="34" customHeight="1">
      <x:c r="A30" s="99" t="str">
        <x:v>T07</x:v>
      </x:c>
      <x:c r="B30" s="95" t="str">
        <x:v>G02</x:v>
      </x:c>
      <x:c r="C30" s="95" t="str">
        <x:v>1 - Event Bus Core</x:v>
      </x:c>
      <x:c r="D30" s="95" t="str">
        <x:v>Exchange and subscriber-owned topology</x:v>
      </x:c>
      <x:c r="E30" s="95" t="str">
        <x:v>T06</x:v>
      </x:c>
      <x:c r="F30" s="95" t="str">
        <x:f>INDEX('Tasks'!$G$2:$G$38,MATCH(A30,'Tasks'!$A$2:$A$38,0))</x:f>
        <x:v>Not Started</x:v>
      </x:c>
      <x:c r="G30" s="101" t="str">
        <x:v>Not Submitted</x:v>
      </x:c>
      <x:c r="H30" s="101" t="str"/>
    </x:row>
    <x:row r="31" ht="34" customHeight="1">
      <x:c r="A31" s="99" t="str">
        <x:v>T08</x:v>
      </x:c>
      <x:c r="B31" s="95" t="str">
        <x:v>G02</x:v>
      </x:c>
      <x:c r="C31" s="95" t="str">
        <x:v>1 - Event Bus Core</x:v>
      </x:c>
      <x:c r="D31" s="95" t="str">
        <x:v>Confirmed publisher &amp; trace propagation</x:v>
      </x:c>
      <x:c r="E31" s="95" t="str">
        <x:v>T04, T06</x:v>
      </x:c>
      <x:c r="F31" s="95" t="str">
        <x:f>INDEX('Tasks'!$G$2:$G$38,MATCH(A31,'Tasks'!$A$2:$A$38,0))</x:f>
        <x:v>Not Started</x:v>
      </x:c>
      <x:c r="G31" s="101" t="str">
        <x:v>Not Submitted</x:v>
      </x:c>
      <x:c r="H31" s="101" t="str"/>
    </x:row>
    <x:row r="32" ht="34" customHeight="1">
      <x:c r="A32" s="99" t="str">
        <x:v>T09</x:v>
      </x:c>
      <x:c r="B32" s="95" t="str">
        <x:v>G02</x:v>
      </x:c>
      <x:c r="C32" s="95" t="str">
        <x:v>1 - Event Bus Core</x:v>
      </x:c>
      <x:c r="D32" s="95" t="str">
        <x:v>Wire-contract and topology tests</x:v>
      </x:c>
      <x:c r="E32" s="95" t="str">
        <x:v>T04, T07, T08</x:v>
      </x:c>
      <x:c r="F32" s="95" t="str">
        <x:f>INDEX('Tasks'!$G$2:$G$38,MATCH(A32,'Tasks'!$A$2:$A$38,0))</x:f>
        <x:v>Not Started</x:v>
      </x:c>
      <x:c r="G32" s="101" t="str">
        <x:v>Not Submitted</x:v>
      </x:c>
      <x:c r="H32" s="101" t="str"/>
    </x:row>
    <x:row r="33" ht="34" customHeight="1">
      <x:c r="A33" s="99" t="str">
        <x:v>T10</x:v>
      </x:c>
      <x:c r="B33" s="95" t="str">
        <x:v>G03</x:v>
      </x:c>
      <x:c r="C33" s="95" t="str">
        <x:v>2 - Durable Publication</x:v>
      </x:c>
      <x:c r="D33" s="95" t="str">
        <x:v>Transactional outbox write path</x:v>
      </x:c>
      <x:c r="E33" s="95" t="str">
        <x:v>T03, T04</x:v>
      </x:c>
      <x:c r="F33" s="95" t="str">
        <x:f>INDEX('Tasks'!$G$2:$G$38,MATCH(A33,'Tasks'!$A$2:$A$38,0))</x:f>
        <x:v>Not Started</x:v>
      </x:c>
      <x:c r="G33" s="101" t="str">
        <x:v>Not Submitted</x:v>
      </x:c>
      <x:c r="H33" s="101" t="str"/>
    </x:row>
    <x:row r="34" ht="34" customHeight="1">
      <x:c r="A34" s="99" t="str">
        <x:v>T11</x:v>
      </x:c>
      <x:c r="B34" s="95" t="str">
        <x:v>G04</x:v>
      </x:c>
      <x:c r="C34" s="95" t="str">
        <x:v>2 - Durable Publication</x:v>
      </x:c>
      <x:c r="D34" s="95" t="str">
        <x:v>Continuous outbox relay</x:v>
      </x:c>
      <x:c r="E34" s="95" t="str">
        <x:v>T08, T10</x:v>
      </x:c>
      <x:c r="F34" s="95" t="str">
        <x:f>INDEX('Tasks'!$G$2:$G$38,MATCH(A34,'Tasks'!$A$2:$A$38,0))</x:f>
        <x:v>Not Started</x:v>
      </x:c>
      <x:c r="G34" s="101" t="str">
        <x:v>Not Submitted</x:v>
      </x:c>
      <x:c r="H34" s="101" t="str"/>
    </x:row>
    <x:row r="35" ht="34" customHeight="1">
      <x:c r="A35" s="99" t="str">
        <x:v>T12</x:v>
      </x:c>
      <x:c r="B35" s="95" t="str">
        <x:v>G05</x:v>
      </x:c>
      <x:c r="C35" s="95" t="str">
        <x:v>2 - Durable Publication</x:v>
      </x:c>
      <x:c r="D35" s="95" t="str">
        <x:v>Audio and document upload events</x:v>
      </x:c>
      <x:c r="E35" s="95" t="str">
        <x:v>T09, T10, T11</x:v>
      </x:c>
      <x:c r="F35" s="95" t="str">
        <x:f>INDEX('Tasks'!$G$2:$G$38,MATCH(A35,'Tasks'!$A$2:$A$38,0))</x:f>
        <x:v>Not Started</x:v>
      </x:c>
      <x:c r="G35" s="101" t="str">
        <x:v>Not Submitted</x:v>
      </x:c>
      <x:c r="H35" s="101" t="str"/>
    </x:row>
    <x:row r="36" ht="34" customHeight="1">
      <x:c r="A36" s="99" t="str">
        <x:v>T13</x:v>
      </x:c>
      <x:c r="B36" s="95" t="str">
        <x:v>G05</x:v>
      </x:c>
      <x:c r="C36" s="95" t="str">
        <x:v>2 - Durable Publication</x:v>
      </x:c>
      <x:c r="D36" s="95" t="str">
        <x:v>Transcript revision and deletion events</x:v>
      </x:c>
      <x:c r="E36" s="95" t="str">
        <x:v>T09, T10, T11</x:v>
      </x:c>
      <x:c r="F36" s="95" t="str">
        <x:f>INDEX('Tasks'!$G$2:$G$38,MATCH(A36,'Tasks'!$A$2:$A$38,0))</x:f>
        <x:v>Not Started</x:v>
      </x:c>
      <x:c r="G36" s="101" t="str">
        <x:v>Not Submitted</x:v>
      </x:c>
      <x:c r="H36" s="101" t="str"/>
    </x:row>
    <x:row r="37" ht="34" customHeight="1">
      <x:c r="A37" s="99" t="str">
        <x:v>T14</x:v>
      </x:c>
      <x:c r="B37" s="95" t="str">
        <x:v>G03</x:v>
      </x:c>
      <x:c r="C37" s="95" t="str">
        <x:v>3 - Transcription Worker</x:v>
      </x:c>
      <x:c r="D37" s="95" t="str">
        <x:v>Standard Transcription Worker host</x:v>
      </x:c>
      <x:c r="E37" s="95" t="str">
        <x:v>T06, T07</x:v>
      </x:c>
      <x:c r="F37" s="95" t="str">
        <x:f>INDEX('Tasks'!$G$2:$G$38,MATCH(A37,'Tasks'!$A$2:$A$38,0))</x:f>
        <x:v>Not Started</x:v>
      </x:c>
      <x:c r="G37" s="101" t="str">
        <x:v>Not Submitted</x:v>
      </x:c>
      <x:c r="H37" s="101" t="str"/>
    </x:row>
    <x:row r="38" ht="34" customHeight="1">
      <x:c r="A38" s="99" t="str">
        <x:v>T15</x:v>
      </x:c>
      <x:c r="B38" s="95" t="str">
        <x:v>G03</x:v>
      </x:c>
      <x:c r="C38" s="95" t="str">
        <x:v>3 - Transcription Worker</x:v>
      </x:c>
      <x:c r="D38" s="95" t="str">
        <x:v>Restricted shared-database unit of work</x:v>
      </x:c>
      <x:c r="E38" s="95" t="str">
        <x:v>T03, T14</x:v>
      </x:c>
      <x:c r="F38" s="95" t="str">
        <x:f>INDEX('Tasks'!$G$2:$G$38,MATCH(A38,'Tasks'!$A$2:$A$38,0))</x:f>
        <x:v>Not Started</x:v>
      </x:c>
      <x:c r="G38" s="101" t="str">
        <x:v>Not Submitted</x:v>
      </x:c>
      <x:c r="H38" s="101" t="str"/>
    </x:row>
    <x:row r="39" ht="34" customHeight="1">
      <x:c r="A39" s="99" t="str">
        <x:v>T16</x:v>
      </x:c>
      <x:c r="B39" s="95" t="str">
        <x:v>G03</x:v>
      </x:c>
      <x:c r="C39" s="95" t="str">
        <x:v>3 - Transcription Worker</x:v>
      </x:c>
      <x:c r="D39" s="95" t="str">
        <x:v>Private Blob retrieval adapter</x:v>
      </x:c>
      <x:c r="E39" s="95" t="str">
        <x:v>T14</x:v>
      </x:c>
      <x:c r="F39" s="95" t="str">
        <x:f>INDEX('Tasks'!$G$2:$G$38,MATCH(A39,'Tasks'!$A$2:$A$38,0))</x:f>
        <x:v>Not Started</x:v>
      </x:c>
      <x:c r="G39" s="101" t="str">
        <x:v>Not Submitted</x:v>
      </x:c>
      <x:c r="H39" s="101" t="str"/>
    </x:row>
    <x:row r="40" ht="34" customHeight="1">
      <x:c r="A40" s="99" t="str">
        <x:v>T17</x:v>
      </x:c>
      <x:c r="B40" s="95" t="str">
        <x:v>G03</x:v>
      </x:c>
      <x:c r="C40" s="95" t="str">
        <x:v>3 - Transcription Worker</x:v>
      </x:c>
      <x:c r="D40" s="95" t="str">
        <x:v>Azure Speech adapter &amp; safe failures</x:v>
      </x:c>
      <x:c r="E40" s="95" t="str">
        <x:v>T14</x:v>
      </x:c>
      <x:c r="F40" s="95" t="str">
        <x:f>INDEX('Tasks'!$G$2:$G$38,MATCH(A40,'Tasks'!$A$2:$A$38,0))</x:f>
        <x:v>Not Started</x:v>
      </x:c>
      <x:c r="G40" s="101" t="str">
        <x:v>Not Submitted</x:v>
      </x:c>
      <x:c r="H40" s="101" t="str"/>
    </x:row>
    <x:row r="41" ht="34" customHeight="1">
      <x:c r="A41" s="99" t="str">
        <x:v>T18</x:v>
      </x:c>
      <x:c r="B41" s="95" t="str">
        <x:v>G04</x:v>
      </x:c>
      <x:c r="C41" s="95" t="str">
        <x:v>3 - Transcription Worker</x:v>
      </x:c>
      <x:c r="D41" s="95" t="str">
        <x:v>Audio Uploaded happy path</x:v>
      </x:c>
      <x:c r="E41" s="95" t="str">
        <x:v>T09, T15, T16, T17</x:v>
      </x:c>
      <x:c r="F41" s="95" t="str">
        <x:f>INDEX('Tasks'!$G$2:$G$38,MATCH(A41,'Tasks'!$A$2:$A$38,0))</x:f>
        <x:v>Not Started</x:v>
      </x:c>
      <x:c r="G41" s="101" t="str">
        <x:v>Not Submitted</x:v>
      </x:c>
      <x:c r="H41" s="101" t="str"/>
    </x:row>
    <x:row r="42" ht="34" customHeight="1">
      <x:c r="A42" s="99" t="str">
        <x:v>T19</x:v>
      </x:c>
      <x:c r="B42" s="95" t="str">
        <x:v>G05</x:v>
      </x:c>
      <x:c r="C42" s="95" t="str">
        <x:v>3 - Transcription Worker</x:v>
      </x:c>
      <x:c r="D42" s="95" t="str">
        <x:v>Inbox idempotency &amp; crash redelivery</x:v>
      </x:c>
      <x:c r="E42" s="95" t="str">
        <x:v>T18</x:v>
      </x:c>
      <x:c r="F42" s="95" t="str">
        <x:f>INDEX('Tasks'!$G$2:$G$38,MATCH(A42,'Tasks'!$A$2:$A$38,0))</x:f>
        <x:v>Not Started</x:v>
      </x:c>
      <x:c r="G42" s="101" t="str">
        <x:v>Not Submitted</x:v>
      </x:c>
      <x:c r="H42" s="101" t="str"/>
    </x:row>
    <x:row r="43" ht="34" customHeight="1">
      <x:c r="A43" s="99" t="str">
        <x:v>T20</x:v>
      </x:c>
      <x:c r="B43" s="95" t="str">
        <x:v>G06</x:v>
      </x:c>
      <x:c r="C43" s="95" t="str">
        <x:v>3 - Transcription Worker</x:v>
      </x:c>
      <x:c r="D43" s="95" t="str">
        <x:v>Retry, dead-letter &amp; failure classification</x:v>
      </x:c>
      <x:c r="E43" s="95" t="str">
        <x:v>T18, T19</x:v>
      </x:c>
      <x:c r="F43" s="95" t="str">
        <x:f>INDEX('Tasks'!$G$2:$G$38,MATCH(A43,'Tasks'!$A$2:$A$38,0))</x:f>
        <x:v>Not Started</x:v>
      </x:c>
      <x:c r="G43" s="101" t="str">
        <x:v>Not Submitted</x:v>
      </x:c>
      <x:c r="H43" s="101" t="str"/>
    </x:row>
    <x:row r="44" ht="34" customHeight="1">
      <x:c r="A44" s="99" t="str">
        <x:v>T21</x:v>
      </x:c>
      <x:c r="B44" s="95" t="str">
        <x:v>G07</x:v>
      </x:c>
      <x:c r="C44" s="95" t="str">
        <x:v>3 - Transcription Worker</x:v>
      </x:c>
      <x:c r="D44" s="95" t="str">
        <x:v>State gates, concurrency &amp; shutdown</x:v>
      </x:c>
      <x:c r="E44" s="95" t="str">
        <x:v>T18, T19, T20</x:v>
      </x:c>
      <x:c r="F44" s="95" t="str">
        <x:f>INDEX('Tasks'!$G$2:$G$38,MATCH(A44,'Tasks'!$A$2:$A$38,0))</x:f>
        <x:v>Not Started</x:v>
      </x:c>
      <x:c r="G44" s="101" t="str">
        <x:v>Not Submitted</x:v>
      </x:c>
      <x:c r="H44" s="101" t="str"/>
    </x:row>
    <x:row r="45" ht="34" customHeight="1">
      <x:c r="A45" s="99" t="str">
        <x:v>T22</x:v>
      </x:c>
      <x:c r="B45" s="95" t="str">
        <x:v>G06</x:v>
      </x:c>
      <x:c r="C45" s="95" t="str">
        <x:v>4 - Downstream &amp; Deletion</x:v>
      </x:c>
      <x:c r="D45" s="95" t="str">
        <x:v>Backend Transcript Ready subscriber</x:v>
      </x:c>
      <x:c r="E45" s="95" t="str">
        <x:v>T09, T13, T18</x:v>
      </x:c>
      <x:c r="F45" s="95" t="str">
        <x:f>INDEX('Tasks'!$G$2:$G$38,MATCH(A45,'Tasks'!$A$2:$A$38,0))</x:f>
        <x:v>Not Started</x:v>
      </x:c>
      <x:c r="G45" s="101" t="str">
        <x:v>Not Submitted</x:v>
      </x:c>
      <x:c r="H45" s="101" t="str"/>
    </x:row>
    <x:row r="46" ht="34" customHeight="1">
      <x:c r="A46" s="99" t="str">
        <x:v>T23</x:v>
      </x:c>
      <x:c r="B46" s="95" t="str">
        <x:v>G07</x:v>
      </x:c>
      <x:c r="C46" s="95" t="str">
        <x:v>4 - Downstream &amp; Deletion</x:v>
      </x:c>
      <x:c r="D46" s="95" t="str">
        <x:v>Current Clinical Knowledge contract alignment</x:v>
      </x:c>
      <x:c r="E46" s="95" t="str">
        <x:v>T22</x:v>
      </x:c>
      <x:c r="F46" s="95" t="str">
        <x:f>INDEX('Tasks'!$G$2:$G$38,MATCH(A46,'Tasks'!$A$2:$A$38,0))</x:f>
        <x:v>Not Started</x:v>
      </x:c>
      <x:c r="G46" s="101" t="str">
        <x:v>Not Submitted</x:v>
      </x:c>
      <x:c r="H46" s="101" t="str"/>
    </x:row>
    <x:row r="47" ht="34" customHeight="1">
      <x:c r="A47" s="99" t="str">
        <x:v>T24</x:v>
      </x:c>
      <x:c r="B47" s="95" t="str">
        <x:v>G08</x:v>
      </x:c>
      <x:c r="C47" s="95" t="str">
        <x:v>4 - Downstream &amp; Deletion</x:v>
      </x:c>
      <x:c r="D47" s="95" t="str">
        <x:v>Idempotent Ingestion handoff &amp; correction</x:v>
      </x:c>
      <x:c r="E47" s="95" t="str">
        <x:v>T22, T23</x:v>
      </x:c>
      <x:c r="F47" s="95" t="str">
        <x:f>INDEX('Tasks'!$G$2:$G$38,MATCH(A47,'Tasks'!$A$2:$A$38,0))</x:f>
        <x:v>Not Started</x:v>
      </x:c>
      <x:c r="G47" s="101" t="str">
        <x:v>Not Submitted</x:v>
      </x:c>
      <x:c r="H47" s="101" t="str"/>
    </x:row>
    <x:row r="48" ht="34" customHeight="1">
      <x:c r="A48" s="99" t="str">
        <x:v>T25</x:v>
      </x:c>
      <x:c r="B48" s="95" t="str">
        <x:v>G09</x:v>
      </x:c>
      <x:c r="C48" s="95" t="str">
        <x:v>4 - Downstream &amp; Deletion</x:v>
      </x:c>
      <x:c r="D48" s="95" t="str">
        <x:v>Event-driven deletion cleanup</x:v>
      </x:c>
      <x:c r="E48" s="95" t="str">
        <x:v>T13, T21, T24</x:v>
      </x:c>
      <x:c r="F48" s="95" t="str">
        <x:f>INDEX('Tasks'!$G$2:$G$38,MATCH(A48,'Tasks'!$A$2:$A$38,0))</x:f>
        <x:v>Not Started</x:v>
      </x:c>
      <x:c r="G48" s="101" t="str">
        <x:v>Not Submitted</x:v>
      </x:c>
      <x:c r="H48" s="101" t="str"/>
    </x:row>
    <x:row r="49" ht="34" customHeight="1">
      <x:c r="A49" s="99" t="str">
        <x:v>T26</x:v>
      </x:c>
      <x:c r="B49" s="95" t="str">
        <x:v>G06</x:v>
      </x:c>
      <x:c r="C49" s="95" t="str">
        <x:v>4 - Downstream &amp; Deletion</x:v>
      </x:c>
      <x:c r="D49" s="95" t="str">
        <x:v>Document pending behavior</x:v>
      </x:c>
      <x:c r="E49" s="95" t="str">
        <x:v>T12, T14, T18</x:v>
      </x:c>
      <x:c r="F49" s="95" t="str">
        <x:f>INDEX('Tasks'!$G$2:$G$38,MATCH(A49,'Tasks'!$A$2:$A$38,0))</x:f>
        <x:v>Not Started</x:v>
      </x:c>
      <x:c r="G49" s="101" t="str">
        <x:v>Not Submitted</x:v>
      </x:c>
      <x:c r="H49" s="101" t="str"/>
    </x:row>
    <x:row r="50" ht="34" customHeight="1">
      <x:c r="A50" s="99" t="str">
        <x:v>T27</x:v>
      </x:c>
      <x:c r="B50" s="95" t="str">
        <x:v>G07</x:v>
      </x:c>
      <x:c r="C50" s="95" t="str">
        <x:v>5 - Security &amp; Observability</x:v>
      </x:c>
      <x:c r="D50" s="95" t="str">
        <x:v>Service identities, TLS &amp; secrets</x:v>
      </x:c>
      <x:c r="E50" s="95" t="str">
        <x:v>T07, T14</x:v>
      </x:c>
      <x:c r="F50" s="95" t="str">
        <x:f>INDEX('Tasks'!$G$2:$G$38,MATCH(A50,'Tasks'!$A$2:$A$38,0))</x:f>
        <x:v>Not Started</x:v>
      </x:c>
      <x:c r="G50" s="101" t="str">
        <x:v>Not Submitted</x:v>
      </x:c>
      <x:c r="H50" s="101" t="str"/>
    </x:row>
    <x:row r="51" ht="34" customHeight="1">
      <x:c r="A51" s="99" t="str">
        <x:v>T28</x:v>
      </x:c>
      <x:c r="B51" s="95" t="str">
        <x:v>G08</x:v>
      </x:c>
      <x:c r="C51" s="95" t="str">
        <x:v>5 - Security &amp; Observability</x:v>
      </x:c>
      <x:c r="D51" s="95" t="str">
        <x:v>PHI-safe telemetry &amp; canary tests</x:v>
      </x:c>
      <x:c r="E51" s="95" t="str">
        <x:v>T17, T18, T22, T27</x:v>
      </x:c>
      <x:c r="F51" s="95" t="str">
        <x:f>INDEX('Tasks'!$G$2:$G$38,MATCH(A51,'Tasks'!$A$2:$A$38,0))</x:f>
        <x:v>Not Started</x:v>
      </x:c>
      <x:c r="G51" s="101" t="str">
        <x:v>Not Submitted</x:v>
      </x:c>
      <x:c r="H51" s="101" t="str"/>
    </x:row>
    <x:row r="52" ht="34" customHeight="1">
      <x:c r="A52" s="99" t="str">
        <x:v>T29</x:v>
      </x:c>
      <x:c r="B52" s="95" t="str">
        <x:v>G09</x:v>
      </x:c>
      <x:c r="C52" s="95" t="str">
        <x:v>5 - Security &amp; Observability</x:v>
      </x:c>
      <x:c r="D52" s="95" t="str">
        <x:v>Health, metrics, dashboards &amp; alerts</x:v>
      </x:c>
      <x:c r="E52" s="95" t="str">
        <x:v>T11, T20, T22, T25, T28</x:v>
      </x:c>
      <x:c r="F52" s="95" t="str">
        <x:f>INDEX('Tasks'!$G$2:$G$38,MATCH(A52,'Tasks'!$A$2:$A$38,0))</x:f>
        <x:v>Not Started</x:v>
      </x:c>
      <x:c r="G52" s="101" t="str">
        <x:v>Not Submitted</x:v>
      </x:c>
      <x:c r="H52" s="101" t="str"/>
    </x:row>
    <x:row r="53" ht="34" customHeight="1">
      <x:c r="A53" s="99" t="str">
        <x:v>T30</x:v>
      </x:c>
      <x:c r="B53" s="95" t="str">
        <x:v>G09</x:v>
      </x:c>
      <x:c r="C53" s="95" t="str">
        <x:v>5 - Security &amp; Observability</x:v>
      </x:c>
      <x:c r="D53" s="95" t="str">
        <x:v>Retention, audit &amp; replay authorization</x:v>
      </x:c>
      <x:c r="E53" s="95" t="str">
        <x:v>T20, T25, T27, T28</x:v>
      </x:c>
      <x:c r="F53" s="95" t="str">
        <x:f>INDEX('Tasks'!$G$2:$G$38,MATCH(A53,'Tasks'!$A$2:$A$38,0))</x:f>
        <x:v>Not Started</x:v>
      </x:c>
      <x:c r="G53" s="101" t="str">
        <x:v>Not Submitted</x:v>
      </x:c>
      <x:c r="H53" s="101" t="str"/>
    </x:row>
    <x:row r="54" ht="34" customHeight="1">
      <x:c r="A54" s="99" t="str">
        <x:v>T31</x:v>
      </x:c>
      <x:c r="B54" s="95" t="str">
        <x:v>G10</x:v>
      </x:c>
      <x:c r="C54" s="95" t="str">
        <x:v>6 - Containers &amp; Operations</x:v>
      </x:c>
      <x:c r="D54" s="95" t="str">
        <x:v>Dockerfiles &amp; root Compose stack</x:v>
      </x:c>
      <x:c r="E54" s="95" t="str">
        <x:v>T14, T22, T27</x:v>
      </x:c>
      <x:c r="F54" s="95" t="str">
        <x:f>INDEX('Tasks'!$G$2:$G$38,MATCH(A54,'Tasks'!$A$2:$A$38,0))</x:f>
        <x:v>Not Started</x:v>
      </x:c>
      <x:c r="G54" s="101" t="str">
        <x:v>Not Submitted</x:v>
      </x:c>
      <x:c r="H54" s="101" t="str"/>
    </x:row>
    <x:row r="55" ht="34" customHeight="1">
      <x:c r="A55" s="99" t="str">
        <x:v>T32</x:v>
      </x:c>
      <x:c r="B55" s="95" t="str">
        <x:v>G10</x:v>
      </x:c>
      <x:c r="C55" s="95" t="str">
        <x:v>6 - Containers &amp; Operations</x:v>
      </x:c>
      <x:c r="D55" s="95" t="str">
        <x:v>Scaling and deployment behavior</x:v>
      </x:c>
      <x:c r="E55" s="95" t="str">
        <x:v>T21, T29, T31</x:v>
      </x:c>
      <x:c r="F55" s="95" t="str">
        <x:f>INDEX('Tasks'!$G$2:$G$38,MATCH(A55,'Tasks'!$A$2:$A$38,0))</x:f>
        <x:v>Not Started</x:v>
      </x:c>
      <x:c r="G55" s="101" t="str">
        <x:v>Not Submitted</x:v>
      </x:c>
      <x:c r="H55" s="101" t="str"/>
    </x:row>
    <x:row r="56" ht="34" customHeight="1">
      <x:c r="A56" s="99" t="str">
        <x:v>T33</x:v>
      </x:c>
      <x:c r="B56" s="95" t="str">
        <x:v>G10</x:v>
      </x:c>
      <x:c r="C56" s="95" t="str">
        <x:v>6 - Containers &amp; Operations</x:v>
      </x:c>
      <x:c r="D56" s="95" t="str">
        <x:v>DLQ replay &amp; recovery tooling</x:v>
      </x:c>
      <x:c r="E56" s="95" t="str">
        <x:v>T20, T29, T30, T31</x:v>
      </x:c>
      <x:c r="F56" s="95" t="str">
        <x:f>INDEX('Tasks'!$G$2:$G$38,MATCH(A56,'Tasks'!$A$2:$A$38,0))</x:f>
        <x:v>Not Started</x:v>
      </x:c>
      <x:c r="G56" s="101" t="str">
        <x:v>Not Submitted</x:v>
      </x:c>
      <x:c r="H56" s="101" t="str"/>
    </x:row>
    <x:row r="57" ht="34" customHeight="1">
      <x:c r="A57" s="99" t="str">
        <x:v>T34</x:v>
      </x:c>
      <x:c r="B57" s="95" t="str">
        <x:v>G11</x:v>
      </x:c>
      <x:c r="C57" s="95" t="str">
        <x:v>7 - Verification &amp; Removal</x:v>
      </x:c>
      <x:c r="D57" s="95" t="str">
        <x:v>End-to-end failure matrix</x:v>
      </x:c>
      <x:c r="E57" s="95" t="str">
        <x:v>T31, T32, T33</x:v>
      </x:c>
      <x:c r="F57" s="95" t="str">
        <x:f>INDEX('Tasks'!$G$2:$G$38,MATCH(A57,'Tasks'!$A$2:$A$38,0))</x:f>
        <x:v>Not Started</x:v>
      </x:c>
      <x:c r="G57" s="101" t="str">
        <x:v>Not Submitted</x:v>
      </x:c>
      <x:c r="H57" s="101" t="str"/>
    </x:row>
    <x:row r="58" ht="34" customHeight="1">
      <x:c r="A58" s="99" t="str">
        <x:v>T35</x:v>
      </x:c>
      <x:c r="B58" s="95" t="str">
        <x:v>G11</x:v>
      </x:c>
      <x:c r="C58" s="95" t="str">
        <x:v>7 - Verification &amp; Removal</x:v>
      </x:c>
      <x:c r="D58" s="95" t="str">
        <x:v>Architecture and privacy enforcement</x:v>
      </x:c>
      <x:c r="E58" s="95" t="str">
        <x:v>T28, T34</x:v>
      </x:c>
      <x:c r="F58" s="95" t="str">
        <x:f>INDEX('Tasks'!$G$2:$G$38,MATCH(A58,'Tasks'!$A$2:$A$38,0))</x:f>
        <x:v>Not Started</x:v>
      </x:c>
      <x:c r="G58" s="101" t="str">
        <x:v>Not Submitted</x:v>
      </x:c>
      <x:c r="H58" s="101" t="str"/>
    </x:row>
    <x:row r="59" ht="34" customHeight="1">
      <x:c r="A59" s="99" t="str">
        <x:v>T36</x:v>
      </x:c>
      <x:c r="B59" s="95" t="str">
        <x:v>G12</x:v>
      </x:c>
      <x:c r="C59" s="95" t="str">
        <x:v>7 - Verification &amp; Removal</x:v>
      </x:c>
      <x:c r="D59" s="95" t="str">
        <x:v>Remove Function and legacy messaging</x:v>
      </x:c>
      <x:c r="E59" s="95" t="str">
        <x:v>T34, T35</x:v>
      </x:c>
      <x:c r="F59" s="95" t="str">
        <x:f>INDEX('Tasks'!$G$2:$G$38,MATCH(A59,'Tasks'!$A$2:$A$38,0))</x:f>
        <x:v>Not Started</x:v>
      </x:c>
      <x:c r="G59" s="101" t="str">
        <x:v>Not Submitted</x:v>
      </x:c>
      <x:c r="H59" s="101" t="str"/>
    </x:row>
    <x:row r="60" ht="34" customHeight="1">
      <x:c r="A60" s="99" t="str">
        <x:v>T37</x:v>
      </x:c>
      <x:c r="B60" s="95" t="str">
        <x:v>G12</x:v>
      </x:c>
      <x:c r="C60" s="95" t="str">
        <x:v>7 - Verification &amp; Removal</x:v>
      </x:c>
      <x:c r="D60" s="95" t="str">
        <x:v>Clean-environment release gate</x:v>
      </x:c>
      <x:c r="E60" s="95" t="str">
        <x:v>T36</x:v>
      </x:c>
      <x:c r="F60" s="95" t="str">
        <x:f>INDEX('Tasks'!$G$2:$G$38,MATCH(A60,'Tasks'!$A$2:$A$38,0))</x:f>
        <x:v>Not Started</x:v>
      </x:c>
      <x:c r="G60" s="101" t="str">
        <x:v>Not Submitted</x:v>
      </x:c>
      <x:c r="H60" s="101" t="str"/>
    </x:row>
  </x:sheetData>
  <x:mergeCells>
    <x:mergeCell ref="A1:H1"/>
    <x:mergeCell ref="A2:H3"/>
    <x:mergeCell ref="A22:H22"/>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sqref="G24:G60">
      <x:formula1>"Not Submitted,In Review,Changes Requested,Approved"</x:formula1>
    </x:dataValidation>
  </x:dataValidations>
  <x:pageMargins left="0.7" right="0.7" top="0.75" bottom="0.75" header="0.3" footer="0.3"/>
  <x:tableParts count="2">
    <x:tablePart xmlns:r="http://schemas.openxmlformats.org/officeDocument/2006/relationships" r:id="R2d0b2de16fac45d0"/>
    <x:tablePart xmlns:r="http://schemas.openxmlformats.org/officeDocument/2006/relationships" r:id="R57531d8bf1254f7d"/>
  </x:tableParts>
</x:worksheet>
</file>